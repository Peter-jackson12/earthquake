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arthquake\"/>
    </mc:Choice>
  </mc:AlternateContent>
  <xr:revisionPtr revIDLastSave="0" documentId="13_ncr:1_{33BEFB5B-3FDE-4230-9C70-5D7E845B459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컬럼정의서" sheetId="1" r:id="rId1"/>
    <sheet name="데이터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F6" i="2" l="1"/>
  <c r="F7" i="2"/>
  <c r="F5" i="2"/>
  <c r="F8" i="2"/>
</calcChain>
</file>

<file path=xl/sharedStrings.xml><?xml version="1.0" encoding="utf-8"?>
<sst xmlns="http://schemas.openxmlformats.org/spreadsheetml/2006/main" count="580" uniqueCount="266">
  <si>
    <t>네팔 지진 건물 손상 컬럼정의서</t>
  </si>
  <si>
    <t>260,601행 · 40컬럼 / ID 1개 · 입력 X 38개 · 타깃 Y 1개</t>
  </si>
  <si>
    <t>정의 출처: DrivenData Problem description (2026-09-23 확인)</t>
  </si>
  <si>
    <t>https://www.drivendata.org/competitions/57/nepal-earthquake/page/136/</t>
  </si>
  <si>
    <t>관측 통계: 업로드한 nepal_building_damage.csv 직접 집계. 주의점은 분석 제안이며 공식 정의와 구분.</t>
  </si>
  <si>
    <t>컬럼명</t>
  </si>
  <si>
    <t>한글명</t>
  </si>
  <si>
    <t>역할</t>
  </si>
  <si>
    <t>저장형 / 의미형</t>
  </si>
  <si>
    <t>정의</t>
  </si>
  <si>
    <t>단위·값 의미</t>
  </si>
  <si>
    <t>실제 관측값·범위</t>
  </si>
  <si>
    <t>고유값 수</t>
  </si>
  <si>
    <t>결측 수</t>
  </si>
  <si>
    <t>해석·전처리 주의점</t>
  </si>
  <si>
    <t>building_id</t>
  </si>
  <si>
    <t>건물 식별자</t>
  </si>
  <si>
    <t>ID</t>
  </si>
  <si>
    <t>int64 / 식별자</t>
  </si>
  <si>
    <t>건물별 고유 무작위 ID</t>
  </si>
  <si>
    <t>없음</t>
  </si>
  <si>
    <t>4 ~ 1052934</t>
  </si>
  <si>
    <t>결합 키로만 사용. 모델 입력 제외.</t>
  </si>
  <si>
    <t>X</t>
  </si>
  <si>
    <t>int64 / 범주형 정수</t>
  </si>
  <si>
    <t>가장 넓은 지리 구역</t>
  </si>
  <si>
    <t>지역 코드</t>
  </si>
  <si>
    <t>0 ~ 30</t>
  </si>
  <si>
    <t>0도 유효 코드. 숫자 크기는 거리·순위를 뜻하지 않음.</t>
  </si>
  <si>
    <t>중지역 코드</t>
  </si>
  <si>
    <t>2단계 지리 구역</t>
  </si>
  <si>
    <t>0 ~ 1427</t>
  </si>
  <si>
    <t>고유값이 많음. 지역별 미관측 범주 처리 필요.</t>
  </si>
  <si>
    <t>소지역 코드</t>
  </si>
  <si>
    <t>가장 세부적인 지리 구역</t>
  </si>
  <si>
    <t>0 ~ 12567</t>
  </si>
  <si>
    <t>고유값이 많아 과적합 주의. 지역 일반화 평가 시 그룹 분할 검토.</t>
  </si>
  <si>
    <t>count_floors_pre_eq</t>
  </si>
  <si>
    <t>지진 전 층수</t>
  </si>
  <si>
    <t>int64 / 수치형 정수</t>
  </si>
  <si>
    <t>지진 발생 전 건물 층수</t>
  </si>
  <si>
    <t>층</t>
  </si>
  <si>
    <t>1, 2, 3, 4, 5, 6, 7, 8, 9</t>
  </si>
  <si>
    <t>높은 층수를 일괄 이상치로 제거하지 않음.</t>
  </si>
  <si>
    <t>age</t>
  </si>
  <si>
    <t>건물 연령</t>
  </si>
  <si>
    <t>건물의 경과 연수</t>
  </si>
  <si>
    <t>년</t>
  </si>
  <si>
    <t>0 ~ 995</t>
  </si>
  <si>
    <t>995는 특수값 가능성 검토 대상. 공식 설명만으로 결측 코드라 확정 불가. 0도 자동 결측 처리 금지.</t>
  </si>
  <si>
    <t>정규화 건물 면적</t>
  </si>
  <si>
    <t>건물 바닥 점유면적의 정규화 값</t>
  </si>
  <si>
    <t>정규화 값</t>
  </si>
  <si>
    <t>1 ~ 100</t>
  </si>
  <si>
    <t>실제 ㎡나 대지 대비 건폐율로 해석 금지. 정규화 기준·분모는 공식 설명에 없음.</t>
  </si>
  <si>
    <t>정규화 건물 높이</t>
  </si>
  <si>
    <t>건물 높이 관련 정규화 값</t>
  </si>
  <si>
    <t>2 ~ 32</t>
  </si>
  <si>
    <t>land_surface_condition</t>
  </si>
  <si>
    <t>지표면 상태</t>
  </si>
  <si>
    <t>object / 명목형 문자</t>
  </si>
  <si>
    <t>건물이 위치한 지면 상태</t>
  </si>
  <si>
    <t>익명화 코드</t>
  </si>
  <si>
    <t>n, o, t</t>
  </si>
  <si>
    <t>각 문자의 원래 의미는 비공개. n/o/t에 평지·경사 등을 임의로 대응하지 않음.</t>
  </si>
  <si>
    <t>foundation_type</t>
  </si>
  <si>
    <t>기초 유형</t>
  </si>
  <si>
    <t>건물 기초의 종류</t>
  </si>
  <si>
    <t>h, i, r, u, w</t>
  </si>
  <si>
    <t>문자별 구체적 재료·공법 매핑 비공개. 원핫 인코딩 등 검토.</t>
  </si>
  <si>
    <t>roof_type</t>
  </si>
  <si>
    <t>지붕 유형</t>
  </si>
  <si>
    <t>건물 지붕의 종류</t>
  </si>
  <si>
    <t>n, q, x</t>
  </si>
  <si>
    <t>문자별 원래 의미 비공개. 알파벳 순서를 등급으로 해석하지 않음.</t>
  </si>
  <si>
    <t>ground_floor_type</t>
  </si>
  <si>
    <t>지상 최하층 바닥 유형</t>
  </si>
  <si>
    <t>지상 최하층의 바닥 종류</t>
  </si>
  <si>
    <t>f, m, v, x, z</t>
  </si>
  <si>
    <t>층수 변수가 아님. 문자별 원래 의미 비공개.</t>
  </si>
  <si>
    <t>other_floor_type</t>
  </si>
  <si>
    <t>상부층 구조 유형</t>
  </si>
  <si>
    <t>지상 최하층 위 층의 구조 종류. 지붕 제외</t>
  </si>
  <si>
    <t>j, q, s, x</t>
  </si>
  <si>
    <t>같은 문자라도 다른 컬럼과 같은 뜻이 아님.</t>
  </si>
  <si>
    <t>position</t>
  </si>
  <si>
    <t>건물 위치 유형</t>
  </si>
  <si>
    <t>건물의 위치를 나타내는 범주</t>
  </si>
  <si>
    <t>j, o, s, t</t>
  </si>
  <si>
    <t>상세 위치 범주의 원래 의미 비공개. 위도·경도가 아님.</t>
  </si>
  <si>
    <t>plan_configuration</t>
  </si>
  <si>
    <t>평면 구성</t>
  </si>
  <si>
    <t>건물 평면의 구성 유형</t>
  </si>
  <si>
    <t>a, c, d, f, m, n, o, q, s, u</t>
  </si>
  <si>
    <t>특정 문자를 사각형·L자형 등으로 임의 해석하지 않음.</t>
  </si>
  <si>
    <t>has_superstructure_adobe_mud</t>
  </si>
  <si>
    <t>흙벽돌·진흙 사용 여부</t>
  </si>
  <si>
    <t>int64 / 이진형 정수</t>
  </si>
  <si>
    <t>상부 구조에 흙벽돌·진흙 사용 여부</t>
  </si>
  <si>
    <t>0=아니오, 1=예</t>
  </si>
  <si>
    <t>0, 1</t>
  </si>
  <si>
    <t>0은 미사용, 1은 사용. 복수 재료가 동시에 1일 수 있어 단일 재료명으로 강제 변환 금지.</t>
  </si>
  <si>
    <t>has_superstructure_mud_mortar_stone</t>
  </si>
  <si>
    <t>상부 구조에 진흙 모르타르·석재 사용 여부</t>
  </si>
  <si>
    <t>has_superstructure_stone_flag</t>
  </si>
  <si>
    <t>석재 사용 여부</t>
  </si>
  <si>
    <t>상부 구조에 석재 사용 여부</t>
  </si>
  <si>
    <t>0은 미사용, 1은 사용. 복수 재료가 동시에 1일 수 있어 단일 재료명으로 강제 변환 금지. 공식 정의는 Stone이며 세부 석재 공법은 명시하지 않음.</t>
  </si>
  <si>
    <t>has_superstructure_cement_mortar_stone</t>
  </si>
  <si>
    <t>시멘트 모르타르·석재 사용 여부</t>
  </si>
  <si>
    <t>상부 구조에 시멘트 모르타르·석재 사용 여부</t>
  </si>
  <si>
    <t>has_superstructure_mud_mortar_brick</t>
  </si>
  <si>
    <t>진흙 모르타르·벽돌 사용 여부</t>
  </si>
  <si>
    <t>상부 구조에 진흙 모르타르·벽돌 사용 여부</t>
  </si>
  <si>
    <t>has_superstructure_cement_mortar_brick</t>
  </si>
  <si>
    <t>시멘트 모르타르·벽돌 사용 여부</t>
  </si>
  <si>
    <t>상부 구조에 시멘트 모르타르·벽돌 사용 여부</t>
  </si>
  <si>
    <t>has_superstructure_timber</t>
  </si>
  <si>
    <t>목재 사용 여부</t>
  </si>
  <si>
    <t>상부 구조에 목재 사용 여부</t>
  </si>
  <si>
    <t>has_superstructure_bamboo</t>
  </si>
  <si>
    <t>대나무 사용 여부</t>
  </si>
  <si>
    <t>상부 구조에 대나무 사용 여부</t>
  </si>
  <si>
    <t>has_superstructure_rc_non_engineered</t>
  </si>
  <si>
    <t>비공학적 설계 철근콘크리트 사용 여부</t>
  </si>
  <si>
    <t>상부 구조에 비공학적 설계 철근콘크리트 사용 여부</t>
  </si>
  <si>
    <t>0은 미사용, 1은 사용. 복수 재료가 동시에 1일 수 있어 단일 재료명으로 강제 변환 금지. RC는 철근콘크리트. engineered를 내진 성능 보장으로 해석하지 않음.</t>
  </si>
  <si>
    <t>has_superstructure_rc_engineered</t>
  </si>
  <si>
    <t>공학적 설계 철근콘크리트 사용 여부</t>
  </si>
  <si>
    <t>상부 구조에 공학적 설계 철근콘크리트 사용 여부</t>
  </si>
  <si>
    <t>has_superstructure_other</t>
  </si>
  <si>
    <t>기타 재료 사용 여부</t>
  </si>
  <si>
    <t>상부 구조에 기타 재료 사용 여부</t>
  </si>
  <si>
    <t>legal_ownership_status</t>
  </si>
  <si>
    <t>토지 법적 소유 상태</t>
  </si>
  <si>
    <t>건물이 세워진 토지의 법적 소유 상태</t>
  </si>
  <si>
    <t>a, r, v, w</t>
  </si>
  <si>
    <t>건물 가격이나 거주자의 소득 변수가 아님. 문자별 매핑 비공개.</t>
  </si>
  <si>
    <t>count_families</t>
  </si>
  <si>
    <t>거주 가구 수</t>
  </si>
  <si>
    <t>건물에 거주하는 가족·가구 수</t>
  </si>
  <si>
    <t>가구</t>
  </si>
  <si>
    <t>0, 1, 2, 3, 4, 5, 6, 7, 8, 9</t>
  </si>
  <si>
    <t>인원 수가 아님. 0을 결측으로 단정하지 않음.</t>
  </si>
  <si>
    <t>has_secondary_use</t>
  </si>
  <si>
    <t>부가 용도 여부</t>
  </si>
  <si>
    <t>건물이 추가 용도로 사용되는지 여부</t>
  </si>
  <si>
    <t>세부 용도 플래그와 일관성 확인. 0은 정상적인 비해당 값.</t>
  </si>
  <si>
    <t>has_secondary_use_agriculture</t>
  </si>
  <si>
    <t>농업 용도 여부</t>
  </si>
  <si>
    <t>농업 목적의 부가 사용 여부</t>
  </si>
  <si>
    <t>0은 비해당이며 결측이 아님. 희소한 1의 빈도를 확인.</t>
  </si>
  <si>
    <t>has_secondary_use_hotel</t>
  </si>
  <si>
    <t>호텔 용도 여부</t>
  </si>
  <si>
    <t>호텔 목적의 부가 사용 여부</t>
  </si>
  <si>
    <t>has_secondary_use_rental</t>
  </si>
  <si>
    <t>임대 용도 여부</t>
  </si>
  <si>
    <t>임대 목적의 부가 사용 여부</t>
  </si>
  <si>
    <t>has_secondary_use_institution</t>
  </si>
  <si>
    <t>기관 용도 여부</t>
  </si>
  <si>
    <t>기관 목적의 부가 사용 여부</t>
  </si>
  <si>
    <t>has_secondary_use_school</t>
  </si>
  <si>
    <t>학교 용도 여부</t>
  </si>
  <si>
    <t>학교 목적의 부가 사용 여부</t>
  </si>
  <si>
    <t>has_secondary_use_industry</t>
  </si>
  <si>
    <t>산업 용도 여부</t>
  </si>
  <si>
    <t>산업 목적의 부가 사용 여부</t>
  </si>
  <si>
    <t>has_secondary_use_health_post</t>
  </si>
  <si>
    <t>보건소 용도 여부</t>
  </si>
  <si>
    <t>보건소 목적의 부가 사용 여부</t>
  </si>
  <si>
    <t>has_secondary_use_gov_office</t>
  </si>
  <si>
    <t>정부 사무소 용도 여부</t>
  </si>
  <si>
    <t>정부 사무소 목적의 부가 사용 여부</t>
  </si>
  <si>
    <t>has_secondary_use_use_police</t>
  </si>
  <si>
    <t>경찰서 용도 여부</t>
  </si>
  <si>
    <t>경찰서 목적의 부가 사용 여부</t>
  </si>
  <si>
    <t>0은 비해당이며 결측이 아님. 희소한 1의 빈도를 확인. 원본의 use_use 철자를 유지.</t>
  </si>
  <si>
    <t>has_secondary_use_other</t>
  </si>
  <si>
    <t>기타 용도 여부</t>
  </si>
  <si>
    <t>기타 목적의 부가 사용 여부</t>
  </si>
  <si>
    <t>damage_grade</t>
  </si>
  <si>
    <t>건물 손상 등급</t>
  </si>
  <si>
    <t>Y</t>
  </si>
  <si>
    <t>int64 / 순서형 타깃</t>
  </si>
  <si>
    <t>지진으로 발생한 건물 손상 수준</t>
  </si>
  <si>
    <t>1=경미, 2=중간, 3=거의 전파</t>
  </si>
  <si>
    <t>1, 2, 3</t>
  </si>
  <si>
    <t>예측 정답 Y. 입력 X에서 제외. 숫자로 저장됐지만 이번 과제는 3분류.</t>
  </si>
  <si>
    <t>데이터 확인 결과와 사용 안내</t>
  </si>
  <si>
    <t>확인 항목</t>
  </si>
  <si>
    <t>실제 값</t>
  </si>
  <si>
    <t>손상 등급 Y</t>
  </si>
  <si>
    <t>건수</t>
  </si>
  <si>
    <t>비율</t>
  </si>
  <si>
    <t>행 수</t>
  </si>
  <si>
    <t>컬럼 수</t>
  </si>
  <si>
    <t>일반 결측 셀 수</t>
  </si>
  <si>
    <t>중복 building_id</t>
  </si>
  <si>
    <t>합계</t>
  </si>
  <si>
    <t>age = 995 건수</t>
  </si>
  <si>
    <t>count_families = 0 건수</t>
  </si>
  <si>
    <t>1. 문자 코드</t>
  </si>
  <si>
    <t>n, o, t 등의 실제 의미는 익명화됨. 서로 다른 컬럼의 같은 문자는 동일한 의미가 아님.</t>
  </si>
  <si>
    <t>2. 숫자 지역 코드</t>
  </si>
  <si>
    <t>geo_level_*는 명목형 지역 식별자. 0은 유효 코드이며 지역 간 거리·크기·등급을 나타내지 않음.</t>
  </si>
  <si>
    <t>3. 정규화 값</t>
  </si>
  <si>
    <t>area_percentage, height_percentage는 정규화 값. 실제 면적·높이로 복원할 근거와 정규화 분모가 공식 설명에 없음.</t>
  </si>
  <si>
    <t>4. 의미론적 결측</t>
  </si>
  <si>
    <t>일반 NaN은 0개. age=995 등의 의미는 추가 확인 필요. 결측이라고 단정하거나 무조건 대치하지 않음.</t>
  </si>
  <si>
    <t>5. 0의 해석</t>
  </si>
  <si>
    <t>이진 플래그의 0은 비해당. age=0은 26,041건이며 새 건물·반올림 등 가능성을 확인한 뒤 판단.</t>
  </si>
  <si>
    <t>6. 복수 재료</t>
  </si>
  <si>
    <t>상부 구조 재료 플래그는 여러 개가 동시에 1일 수 있음. 단일 범주형 재료 변수로 강제 변환하지 않음.</t>
  </si>
  <si>
    <t>7. 모델 입력</t>
  </si>
  <si>
    <t>building_id와 damage_grade를 제외한 38개를 X로 사용. damage_grade는 순서가 있는 3개 클래스의 Y.</t>
  </si>
  <si>
    <t>8. 클래스 불균형</t>
  </si>
  <si>
    <t>클래스 2가 가장 많음. Accuracy와 Macro-F1, 클래스별 Recall을 함께 확인. 공식 대회 지표는 Micro-F1.</t>
  </si>
  <si>
    <t>9. 평가 범위</t>
  </si>
  <si>
    <t>2015년 특정 지진 피해 자료. 다른 지역·다른 지진에 대한 일반화 성능은 별도 검증이 필요.</t>
  </si>
  <si>
    <t>10. 통계 범위</t>
  </si>
  <si>
    <t>아래 값 분포는 이 업로드본 기준. 훈련·검증 분할이나 표본 추출 후 비율은 달라질 수 있음.</t>
  </si>
  <si>
    <t>관측값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</si>
  <si>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</si>
  <si>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</si>
  <si>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</si>
  <si>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</si>
  <si>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</si>
  <si>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</si>
  <si>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</si>
  <si>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</si>
  <si>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</si>
  <si>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</t>
  </si>
  <si>
    <t>o</t>
  </si>
  <si>
    <t>t</t>
  </si>
  <si>
    <t>h</t>
  </si>
  <si>
    <t>i</t>
  </si>
  <si>
    <t>r</t>
  </si>
  <si>
    <t>u</t>
  </si>
  <si>
    <t>w</t>
  </si>
  <si>
    <t>q</t>
  </si>
  <si>
    <t>x</t>
  </si>
  <si>
    <t>f</t>
  </si>
  <si>
    <t>m</t>
  </si>
  <si>
    <t>v</t>
  </si>
  <si>
    <t>z</t>
  </si>
  <si>
    <t>j</t>
  </si>
  <si>
    <t>s</t>
  </si>
  <si>
    <t>a</t>
  </si>
  <si>
    <t>c</t>
  </si>
  <si>
    <t>d</t>
  </si>
  <si>
    <t>0</t>
  </si>
  <si>
    <r>
      <rPr>
        <sz val="11"/>
        <color rgb="FF172B4D"/>
        <rFont val="맑은 고딕"/>
        <family val="3"/>
        <charset val="129"/>
      </rPr>
      <t>실제</t>
    </r>
    <r>
      <rPr>
        <sz val="11"/>
        <color rgb="FF172B4D"/>
        <rFont val="Arial"/>
        <family val="2"/>
      </rPr>
      <t xml:space="preserve"> m</t>
    </r>
    <r>
      <rPr>
        <sz val="11"/>
        <color rgb="FF172B4D"/>
        <rFont val="맑은 고딕"/>
        <family val="3"/>
        <charset val="129"/>
      </rPr>
      <t>로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해석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금지</t>
    </r>
    <r>
      <rPr>
        <sz val="11"/>
        <color rgb="FF172B4D"/>
        <rFont val="Arial"/>
        <family val="2"/>
      </rPr>
      <t xml:space="preserve">. </t>
    </r>
    <r>
      <rPr>
        <sz val="11"/>
        <color rgb="FF172B4D"/>
        <rFont val="맑은 고딕"/>
        <family val="3"/>
        <charset val="129"/>
      </rPr>
      <t>정규화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기준</t>
    </r>
    <r>
      <rPr>
        <sz val="11"/>
        <color rgb="FF172B4D"/>
        <rFont val="Arial"/>
        <family val="2"/>
      </rPr>
      <t>·</t>
    </r>
    <r>
      <rPr>
        <sz val="11"/>
        <color rgb="FF172B4D"/>
        <rFont val="맑은 고딕"/>
        <family val="3"/>
        <charset val="129"/>
      </rPr>
      <t>분모는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공식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설명에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없음</t>
    </r>
    <r>
      <rPr>
        <sz val="11"/>
        <color rgb="FF172B4D"/>
        <rFont val="Arial"/>
        <family val="2"/>
      </rPr>
      <t>.</t>
    </r>
    <phoneticPr fontId="6" type="noConversion"/>
  </si>
  <si>
    <t>area_percentage</t>
    <phoneticPr fontId="6" type="noConversion"/>
  </si>
  <si>
    <t>height_percentage</t>
    <phoneticPr fontId="6" type="noConversion"/>
  </si>
  <si>
    <t>count_families</t>
    <phoneticPr fontId="6" type="noConversion"/>
  </si>
  <si>
    <r>
      <t>0=</t>
    </r>
    <r>
      <rPr>
        <sz val="11"/>
        <color rgb="FF172B4D"/>
        <rFont val="맑은 고딕"/>
        <family val="3"/>
        <charset val="129"/>
      </rPr>
      <t>아니오</t>
    </r>
    <r>
      <rPr>
        <sz val="11"/>
        <color rgb="FF172B4D"/>
        <rFont val="Arial"/>
        <family val="2"/>
      </rPr>
      <t>, 1=</t>
    </r>
    <r>
      <rPr>
        <sz val="11"/>
        <color rgb="FF172B4D"/>
        <rFont val="맑은 고딕"/>
        <family val="3"/>
        <charset val="129"/>
      </rPr>
      <t>예</t>
    </r>
    <phoneticPr fontId="6" type="noConversion"/>
  </si>
  <si>
    <t>geo_level_3_id</t>
    <phoneticPr fontId="6" type="noConversion"/>
  </si>
  <si>
    <t>land_surface_condition</t>
    <phoneticPr fontId="6" type="noConversion"/>
  </si>
  <si>
    <t>has_secondary_use_agriculture</t>
    <phoneticPr fontId="6" type="noConversion"/>
  </si>
  <si>
    <t>damage_grade</t>
    <phoneticPr fontId="6" type="noConversion"/>
  </si>
  <si>
    <r>
      <rPr>
        <sz val="11"/>
        <color rgb="FF172B4D"/>
        <rFont val="맑은 고딕"/>
        <family val="3"/>
        <charset val="129"/>
      </rPr>
      <t>진흙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모르타르</t>
    </r>
    <r>
      <rPr>
        <sz val="11"/>
        <color rgb="FF172B4D"/>
        <rFont val="Arial"/>
        <family val="2"/>
      </rPr>
      <t>·</t>
    </r>
    <r>
      <rPr>
        <sz val="11"/>
        <color rgb="FF172B4D"/>
        <rFont val="맑은 고딕"/>
        <family val="3"/>
        <charset val="129"/>
      </rPr>
      <t>석재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사용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여부</t>
    </r>
    <phoneticPr fontId="6" type="noConversion"/>
  </si>
  <si>
    <t>geo_level_1_id</t>
    <phoneticPr fontId="6" type="noConversion"/>
  </si>
  <si>
    <t>geo_level_2_id</t>
    <phoneticPr fontId="6" type="noConversion"/>
  </si>
  <si>
    <r>
      <rPr>
        <sz val="11"/>
        <color rgb="FF172B4D"/>
        <rFont val="맑은 고딕"/>
        <family val="3"/>
        <charset val="129"/>
      </rPr>
      <t>대지역</t>
    </r>
    <r>
      <rPr>
        <sz val="11"/>
        <color rgb="FF172B4D"/>
        <rFont val="Arial"/>
        <family val="2"/>
      </rPr>
      <t xml:space="preserve"> </t>
    </r>
    <r>
      <rPr>
        <sz val="11"/>
        <color rgb="FF172B4D"/>
        <rFont val="맑은 고딕"/>
        <family val="3"/>
        <charset val="129"/>
      </rPr>
      <t>코드</t>
    </r>
    <phoneticPr fontId="6" type="noConversion"/>
  </si>
  <si>
    <t>has_superstructure_mud_mortar_stone</t>
    <phoneticPr fontId="6" type="noConversion"/>
  </si>
  <si>
    <t xml:space="preserve">   has_superstructure_adobe_mud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</si>
</sst>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172B4D"/>
      <name val="Arial"/>
      <family val="2"/>
    </font>
    <font>
      <b/>
      <sz val="16"/>
      <color rgb="FF172B4D"/>
      <name val="Arial"/>
      <family val="2"/>
    </font>
    <font>
      <b/>
      <sz val="11"/>
      <color rgb="FFFFFFFF"/>
      <name val="Arial"/>
      <family val="2"/>
    </font>
    <font>
      <b/>
      <sz val="11"/>
      <color rgb="FF172B4D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1"/>
      <color rgb="FF172B4D"/>
      <name val="맑은 고딕"/>
      <family val="3"/>
      <charset val="129"/>
    </font>
    <font>
      <sz val="11"/>
      <color rgb="FF172B4D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43B6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0" fillId="0" borderId="0" xfId="1" applyFont="1" applyAlignment="1">
      <alignment wrapText="1"/>
    </xf>
    <xf numFmtId="3" fontId="1" fillId="0" borderId="0" xfId="1" applyNumberFormat="1" applyFont="1" applyAlignment="1">
      <alignment vertical="center" wrapText="1"/>
    </xf>
    <xf numFmtId="3" fontId="0" fillId="0" borderId="0" xfId="1" applyNumberFormat="1" applyFont="1" applyAlignment="1">
      <alignment wrapText="1"/>
    </xf>
    <xf numFmtId="3" fontId="1" fillId="0" borderId="0" xfId="1" applyNumberFormat="1" applyFont="1" applyAlignment="1">
      <alignment vertical="center"/>
    </xf>
    <xf numFmtId="10" fontId="1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8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umnDictionary" displayName="ColumnDictionary" ref="A8:J48" totalsRowShown="0">
  <tableColumns count="10">
    <tableColumn id="1" xr3:uid="{00000000-0010-0000-0000-000001000000}" name="컬럼명"/>
    <tableColumn id="2" xr3:uid="{00000000-0010-0000-0000-000002000000}" name="한글명"/>
    <tableColumn id="3" xr3:uid="{00000000-0010-0000-0000-000003000000}" name="역할"/>
    <tableColumn id="4" xr3:uid="{00000000-0010-0000-0000-000004000000}" name="저장형 / 의미형"/>
    <tableColumn id="5" xr3:uid="{00000000-0010-0000-0000-000005000000}" name="정의"/>
    <tableColumn id="6" xr3:uid="{00000000-0010-0000-0000-000006000000}" name="단위·값 의미"/>
    <tableColumn id="7" xr3:uid="{00000000-0010-0000-0000-000007000000}" name="실제 관측값·범위"/>
    <tableColumn id="8" xr3:uid="{00000000-0010-0000-0000-000008000000}" name="고유값 수"/>
    <tableColumn id="9" xr3:uid="{00000000-0010-0000-0000-000009000000}" name="결측 수"/>
    <tableColumn id="10" xr3:uid="{00000000-0010-0000-0000-00000A000000}" name="해석·전처리 주의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ueFrequency" displayName="ValueFrequency" ref="A24:D128" totalsRowShown="0">
  <tableColumns count="4">
    <tableColumn id="1" xr3:uid="{00000000-0010-0000-0100-000001000000}" name="컬럼명"/>
    <tableColumn id="2" xr3:uid="{00000000-0010-0000-0100-000002000000}" name="관측값"/>
    <tableColumn id="3" xr3:uid="{00000000-0010-0000-0100-000003000000}" name="건수"/>
    <tableColumn id="4" xr3:uid="{00000000-0010-0000-0100-000004000000}" name="비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tabSelected="1" zoomScale="85" zoomScaleNormal="85" workbookViewId="0">
      <pane xSplit="1" ySplit="8" topLeftCell="B23" activePane="bottomRight" state="frozen"/>
      <selection pane="topRight"/>
      <selection pane="bottomLeft"/>
      <selection pane="bottomRight" activeCell="A24" sqref="A24"/>
    </sheetView>
  </sheetViews>
  <sheetFormatPr defaultRowHeight="14"/>
  <cols>
    <col min="1" max="1" width="37.75" customWidth="1"/>
    <col min="2" max="2" width="22.75" customWidth="1"/>
    <col min="3" max="3" width="5" customWidth="1"/>
    <col min="4" max="4" width="21.08203125" customWidth="1"/>
    <col min="5" max="5" width="32.75" customWidth="1"/>
    <col min="6" max="6" width="22.25" customWidth="1"/>
    <col min="7" max="7" width="21.08203125" customWidth="1"/>
    <col min="8" max="8" width="8.33203125" customWidth="1"/>
    <col min="9" max="9" width="7.25" customWidth="1"/>
    <col min="10" max="10" width="46.66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" customHeight="1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</row>
    <row r="9" spans="1:10" ht="78" customHeight="1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6">
        <v>260601</v>
      </c>
      <c r="I9" s="6">
        <v>0</v>
      </c>
      <c r="J9" s="4" t="s">
        <v>22</v>
      </c>
    </row>
    <row r="10" spans="1:10" ht="78" customHeight="1">
      <c r="A10" s="4" t="s">
        <v>261</v>
      </c>
      <c r="B10" s="11" t="s">
        <v>263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27</v>
      </c>
      <c r="H10" s="6">
        <v>31</v>
      </c>
      <c r="I10" s="6">
        <v>0</v>
      </c>
      <c r="J10" s="4" t="s">
        <v>28</v>
      </c>
    </row>
    <row r="11" spans="1:10" ht="78" customHeight="1">
      <c r="A11" s="4" t="s">
        <v>262</v>
      </c>
      <c r="B11" s="4" t="s">
        <v>29</v>
      </c>
      <c r="C11" s="4" t="s">
        <v>23</v>
      </c>
      <c r="D11" s="4" t="s">
        <v>24</v>
      </c>
      <c r="E11" s="4" t="s">
        <v>30</v>
      </c>
      <c r="F11" s="4" t="s">
        <v>26</v>
      </c>
      <c r="G11" s="4" t="s">
        <v>31</v>
      </c>
      <c r="H11" s="6">
        <v>1414</v>
      </c>
      <c r="I11" s="6">
        <v>0</v>
      </c>
      <c r="J11" s="4" t="s">
        <v>32</v>
      </c>
    </row>
    <row r="12" spans="1:10" ht="78" customHeight="1">
      <c r="A12" s="4" t="s">
        <v>256</v>
      </c>
      <c r="B12" s="4" t="s">
        <v>33</v>
      </c>
      <c r="C12" s="4" t="s">
        <v>23</v>
      </c>
      <c r="D12" s="4" t="s">
        <v>24</v>
      </c>
      <c r="E12" s="4" t="s">
        <v>34</v>
      </c>
      <c r="F12" s="4" t="s">
        <v>26</v>
      </c>
      <c r="G12" s="4" t="s">
        <v>35</v>
      </c>
      <c r="H12" s="6">
        <v>11595</v>
      </c>
      <c r="I12" s="6">
        <v>0</v>
      </c>
      <c r="J12" s="4" t="s">
        <v>36</v>
      </c>
    </row>
    <row r="13" spans="1:10" ht="78" customHeight="1">
      <c r="A13" s="4" t="s">
        <v>37</v>
      </c>
      <c r="B13" s="4" t="s">
        <v>38</v>
      </c>
      <c r="C13" s="4" t="s">
        <v>23</v>
      </c>
      <c r="D13" s="4" t="s">
        <v>39</v>
      </c>
      <c r="E13" s="4" t="s">
        <v>40</v>
      </c>
      <c r="F13" s="4" t="s">
        <v>41</v>
      </c>
      <c r="G13" s="4" t="s">
        <v>42</v>
      </c>
      <c r="H13" s="6">
        <v>9</v>
      </c>
      <c r="I13" s="6">
        <v>0</v>
      </c>
      <c r="J13" s="4" t="s">
        <v>43</v>
      </c>
    </row>
    <row r="14" spans="1:10" ht="78" customHeight="1">
      <c r="A14" s="4" t="s">
        <v>44</v>
      </c>
      <c r="B14" s="4" t="s">
        <v>45</v>
      </c>
      <c r="C14" s="4" t="s">
        <v>23</v>
      </c>
      <c r="D14" s="4" t="s">
        <v>39</v>
      </c>
      <c r="E14" s="4" t="s">
        <v>46</v>
      </c>
      <c r="F14" s="4" t="s">
        <v>47</v>
      </c>
      <c r="G14" s="4" t="s">
        <v>48</v>
      </c>
      <c r="H14" s="6">
        <v>42</v>
      </c>
      <c r="I14" s="6">
        <v>0</v>
      </c>
      <c r="J14" s="4" t="s">
        <v>49</v>
      </c>
    </row>
    <row r="15" spans="1:10" ht="78" customHeight="1">
      <c r="A15" s="4" t="s">
        <v>252</v>
      </c>
      <c r="B15" s="4" t="s">
        <v>50</v>
      </c>
      <c r="C15" s="4" t="s">
        <v>23</v>
      </c>
      <c r="D15" s="4" t="s">
        <v>39</v>
      </c>
      <c r="E15" s="4" t="s">
        <v>51</v>
      </c>
      <c r="F15" s="4" t="s">
        <v>52</v>
      </c>
      <c r="G15" s="4" t="s">
        <v>53</v>
      </c>
      <c r="H15" s="6">
        <v>84</v>
      </c>
      <c r="I15" s="6">
        <v>0</v>
      </c>
      <c r="J15" s="4" t="s">
        <v>54</v>
      </c>
    </row>
    <row r="16" spans="1:10" ht="78" customHeight="1">
      <c r="A16" s="4" t="s">
        <v>253</v>
      </c>
      <c r="B16" s="4" t="s">
        <v>55</v>
      </c>
      <c r="C16" s="4" t="s">
        <v>23</v>
      </c>
      <c r="D16" s="4" t="s">
        <v>39</v>
      </c>
      <c r="E16" s="4" t="s">
        <v>56</v>
      </c>
      <c r="F16" s="4" t="s">
        <v>52</v>
      </c>
      <c r="G16" s="4" t="s">
        <v>57</v>
      </c>
      <c r="H16" s="6">
        <v>27</v>
      </c>
      <c r="I16" s="6">
        <v>0</v>
      </c>
      <c r="J16" s="11" t="s">
        <v>251</v>
      </c>
    </row>
    <row r="17" spans="1:10" ht="78" customHeight="1">
      <c r="A17" s="4" t="s">
        <v>257</v>
      </c>
      <c r="B17" s="4" t="s">
        <v>59</v>
      </c>
      <c r="C17" s="4" t="s">
        <v>23</v>
      </c>
      <c r="D17" s="4" t="s">
        <v>60</v>
      </c>
      <c r="E17" s="4" t="s">
        <v>61</v>
      </c>
      <c r="F17" s="4" t="s">
        <v>62</v>
      </c>
      <c r="G17" s="4" t="s">
        <v>63</v>
      </c>
      <c r="H17" s="6">
        <v>3</v>
      </c>
      <c r="I17" s="6">
        <v>0</v>
      </c>
      <c r="J17" s="4" t="s">
        <v>64</v>
      </c>
    </row>
    <row r="18" spans="1:10" ht="78" customHeight="1">
      <c r="A18" s="4" t="s">
        <v>65</v>
      </c>
      <c r="B18" s="4" t="s">
        <v>66</v>
      </c>
      <c r="C18" s="4" t="s">
        <v>23</v>
      </c>
      <c r="D18" s="4" t="s">
        <v>60</v>
      </c>
      <c r="E18" s="4" t="s">
        <v>67</v>
      </c>
      <c r="F18" s="4" t="s">
        <v>62</v>
      </c>
      <c r="G18" s="4" t="s">
        <v>68</v>
      </c>
      <c r="H18" s="6">
        <v>5</v>
      </c>
      <c r="I18" s="6">
        <v>0</v>
      </c>
      <c r="J18" s="4" t="s">
        <v>69</v>
      </c>
    </row>
    <row r="19" spans="1:10" ht="78" customHeight="1">
      <c r="A19" s="4" t="s">
        <v>70</v>
      </c>
      <c r="B19" s="4" t="s">
        <v>71</v>
      </c>
      <c r="C19" s="4" t="s">
        <v>23</v>
      </c>
      <c r="D19" s="4" t="s">
        <v>60</v>
      </c>
      <c r="E19" s="4" t="s">
        <v>72</v>
      </c>
      <c r="F19" s="4" t="s">
        <v>62</v>
      </c>
      <c r="G19" s="4" t="s">
        <v>73</v>
      </c>
      <c r="H19" s="6">
        <v>3</v>
      </c>
      <c r="I19" s="6">
        <v>0</v>
      </c>
      <c r="J19" s="4" t="s">
        <v>74</v>
      </c>
    </row>
    <row r="20" spans="1:10" ht="78" customHeight="1">
      <c r="A20" s="4" t="s">
        <v>75</v>
      </c>
      <c r="B20" s="4" t="s">
        <v>76</v>
      </c>
      <c r="C20" s="4" t="s">
        <v>23</v>
      </c>
      <c r="D20" s="4" t="s">
        <v>60</v>
      </c>
      <c r="E20" s="4" t="s">
        <v>77</v>
      </c>
      <c r="F20" s="4" t="s">
        <v>62</v>
      </c>
      <c r="G20" s="4" t="s">
        <v>78</v>
      </c>
      <c r="H20" s="6">
        <v>5</v>
      </c>
      <c r="I20" s="6">
        <v>0</v>
      </c>
      <c r="J20" s="4" t="s">
        <v>79</v>
      </c>
    </row>
    <row r="21" spans="1:10" ht="78" customHeight="1">
      <c r="A21" s="4" t="s">
        <v>80</v>
      </c>
      <c r="B21" s="4" t="s">
        <v>81</v>
      </c>
      <c r="C21" s="4" t="s">
        <v>23</v>
      </c>
      <c r="D21" s="4" t="s">
        <v>60</v>
      </c>
      <c r="E21" s="4" t="s">
        <v>82</v>
      </c>
      <c r="F21" s="4" t="s">
        <v>62</v>
      </c>
      <c r="G21" s="4" t="s">
        <v>83</v>
      </c>
      <c r="H21" s="6">
        <v>4</v>
      </c>
      <c r="I21" s="6">
        <v>0</v>
      </c>
      <c r="J21" s="4" t="s">
        <v>84</v>
      </c>
    </row>
    <row r="22" spans="1:10" ht="78" customHeight="1">
      <c r="A22" s="4" t="s">
        <v>85</v>
      </c>
      <c r="B22" s="4" t="s">
        <v>86</v>
      </c>
      <c r="C22" s="4" t="s">
        <v>23</v>
      </c>
      <c r="D22" s="4" t="s">
        <v>60</v>
      </c>
      <c r="E22" s="4" t="s">
        <v>87</v>
      </c>
      <c r="F22" s="4" t="s">
        <v>62</v>
      </c>
      <c r="G22" s="4" t="s">
        <v>88</v>
      </c>
      <c r="H22" s="6">
        <v>4</v>
      </c>
      <c r="I22" s="6">
        <v>0</v>
      </c>
      <c r="J22" s="4" t="s">
        <v>89</v>
      </c>
    </row>
    <row r="23" spans="1:10" ht="78" customHeight="1">
      <c r="A23" s="4" t="s">
        <v>90</v>
      </c>
      <c r="B23" s="4" t="s">
        <v>91</v>
      </c>
      <c r="C23" s="4" t="s">
        <v>23</v>
      </c>
      <c r="D23" s="4" t="s">
        <v>60</v>
      </c>
      <c r="E23" s="4" t="s">
        <v>92</v>
      </c>
      <c r="F23" s="4" t="s">
        <v>62</v>
      </c>
      <c r="G23" s="4" t="s">
        <v>93</v>
      </c>
      <c r="H23" s="6">
        <v>10</v>
      </c>
      <c r="I23" s="6">
        <v>0</v>
      </c>
      <c r="J23" s="4" t="s">
        <v>94</v>
      </c>
    </row>
    <row r="24" spans="1:10" ht="78" customHeight="1">
      <c r="A24" s="4" t="s">
        <v>265</v>
      </c>
      <c r="B24" s="4" t="s">
        <v>96</v>
      </c>
      <c r="C24" s="4" t="s">
        <v>23</v>
      </c>
      <c r="D24" s="4" t="s">
        <v>97</v>
      </c>
      <c r="E24" s="4" t="s">
        <v>98</v>
      </c>
      <c r="F24" s="4" t="s">
        <v>99</v>
      </c>
      <c r="G24" s="4" t="s">
        <v>100</v>
      </c>
      <c r="H24" s="6">
        <v>2</v>
      </c>
      <c r="I24" s="6">
        <v>0</v>
      </c>
      <c r="J24" s="4" t="s">
        <v>101</v>
      </c>
    </row>
    <row r="25" spans="1:10" ht="78" customHeight="1">
      <c r="A25" s="4" t="s">
        <v>264</v>
      </c>
      <c r="B25" s="11" t="s">
        <v>260</v>
      </c>
      <c r="C25" s="4" t="s">
        <v>23</v>
      </c>
      <c r="D25" s="4" t="s">
        <v>97</v>
      </c>
      <c r="E25" s="4" t="s">
        <v>103</v>
      </c>
      <c r="F25" s="4" t="s">
        <v>99</v>
      </c>
      <c r="G25" s="4" t="s">
        <v>100</v>
      </c>
      <c r="H25" s="6">
        <v>2</v>
      </c>
      <c r="I25" s="6">
        <v>0</v>
      </c>
      <c r="J25" s="4" t="s">
        <v>101</v>
      </c>
    </row>
    <row r="26" spans="1:10" ht="78" customHeight="1">
      <c r="A26" s="4" t="s">
        <v>104</v>
      </c>
      <c r="B26" s="4" t="s">
        <v>105</v>
      </c>
      <c r="C26" s="4" t="s">
        <v>23</v>
      </c>
      <c r="D26" s="4" t="s">
        <v>97</v>
      </c>
      <c r="E26" s="4" t="s">
        <v>106</v>
      </c>
      <c r="F26" s="4" t="s">
        <v>99</v>
      </c>
      <c r="G26" s="4" t="s">
        <v>100</v>
      </c>
      <c r="H26" s="6">
        <v>2</v>
      </c>
      <c r="I26" s="6">
        <v>0</v>
      </c>
      <c r="J26" s="4" t="s">
        <v>107</v>
      </c>
    </row>
    <row r="27" spans="1:10" ht="78" customHeight="1">
      <c r="A27" s="4" t="s">
        <v>108</v>
      </c>
      <c r="B27" s="4" t="s">
        <v>109</v>
      </c>
      <c r="C27" s="4" t="s">
        <v>23</v>
      </c>
      <c r="D27" s="4" t="s">
        <v>97</v>
      </c>
      <c r="E27" s="4" t="s">
        <v>110</v>
      </c>
      <c r="F27" s="4" t="s">
        <v>99</v>
      </c>
      <c r="G27" s="4" t="s">
        <v>100</v>
      </c>
      <c r="H27" s="6">
        <v>2</v>
      </c>
      <c r="I27" s="6">
        <v>0</v>
      </c>
      <c r="J27" s="4" t="s">
        <v>101</v>
      </c>
    </row>
    <row r="28" spans="1:10" ht="78" customHeight="1">
      <c r="A28" s="4" t="s">
        <v>111</v>
      </c>
      <c r="B28" s="4" t="s">
        <v>112</v>
      </c>
      <c r="C28" s="4" t="s">
        <v>23</v>
      </c>
      <c r="D28" s="4" t="s">
        <v>97</v>
      </c>
      <c r="E28" s="4" t="s">
        <v>113</v>
      </c>
      <c r="F28" s="4" t="s">
        <v>99</v>
      </c>
      <c r="G28" s="4" t="s">
        <v>100</v>
      </c>
      <c r="H28" s="6">
        <v>2</v>
      </c>
      <c r="I28" s="6">
        <v>0</v>
      </c>
      <c r="J28" s="4" t="s">
        <v>101</v>
      </c>
    </row>
    <row r="29" spans="1:10" ht="78" customHeight="1">
      <c r="A29" s="4" t="s">
        <v>114</v>
      </c>
      <c r="B29" s="4" t="s">
        <v>115</v>
      </c>
      <c r="C29" s="4" t="s">
        <v>23</v>
      </c>
      <c r="D29" s="4" t="s">
        <v>97</v>
      </c>
      <c r="E29" s="4" t="s">
        <v>116</v>
      </c>
      <c r="F29" s="4" t="s">
        <v>99</v>
      </c>
      <c r="G29" s="4" t="s">
        <v>100</v>
      </c>
      <c r="H29" s="6">
        <v>2</v>
      </c>
      <c r="I29" s="6">
        <v>0</v>
      </c>
      <c r="J29" s="4" t="s">
        <v>101</v>
      </c>
    </row>
    <row r="30" spans="1:10" ht="78" customHeight="1">
      <c r="A30" s="4" t="s">
        <v>117</v>
      </c>
      <c r="B30" s="4" t="s">
        <v>118</v>
      </c>
      <c r="C30" s="4" t="s">
        <v>23</v>
      </c>
      <c r="D30" s="4" t="s">
        <v>97</v>
      </c>
      <c r="E30" s="4" t="s">
        <v>119</v>
      </c>
      <c r="F30" s="4" t="s">
        <v>99</v>
      </c>
      <c r="G30" s="4" t="s">
        <v>100</v>
      </c>
      <c r="H30" s="6">
        <v>2</v>
      </c>
      <c r="I30" s="6">
        <v>0</v>
      </c>
      <c r="J30" s="4" t="s">
        <v>101</v>
      </c>
    </row>
    <row r="31" spans="1:10" ht="78" customHeight="1">
      <c r="A31" s="4" t="s">
        <v>120</v>
      </c>
      <c r="B31" s="4" t="s">
        <v>121</v>
      </c>
      <c r="C31" s="4" t="s">
        <v>23</v>
      </c>
      <c r="D31" s="4" t="s">
        <v>97</v>
      </c>
      <c r="E31" s="4" t="s">
        <v>122</v>
      </c>
      <c r="F31" s="4" t="s">
        <v>99</v>
      </c>
      <c r="G31" s="4" t="s">
        <v>100</v>
      </c>
      <c r="H31" s="6">
        <v>2</v>
      </c>
      <c r="I31" s="6">
        <v>0</v>
      </c>
      <c r="J31" s="4" t="s">
        <v>101</v>
      </c>
    </row>
    <row r="32" spans="1:10" ht="78" customHeight="1">
      <c r="A32" s="4" t="s">
        <v>123</v>
      </c>
      <c r="B32" s="4" t="s">
        <v>124</v>
      </c>
      <c r="C32" s="4" t="s">
        <v>23</v>
      </c>
      <c r="D32" s="4" t="s">
        <v>97</v>
      </c>
      <c r="E32" s="4" t="s">
        <v>125</v>
      </c>
      <c r="F32" s="4" t="s">
        <v>99</v>
      </c>
      <c r="G32" s="4" t="s">
        <v>100</v>
      </c>
      <c r="H32" s="6">
        <v>2</v>
      </c>
      <c r="I32" s="6">
        <v>0</v>
      </c>
      <c r="J32" s="4" t="s">
        <v>126</v>
      </c>
    </row>
    <row r="33" spans="1:10" ht="78" customHeight="1">
      <c r="A33" s="4" t="s">
        <v>127</v>
      </c>
      <c r="B33" s="4" t="s">
        <v>128</v>
      </c>
      <c r="C33" s="4" t="s">
        <v>23</v>
      </c>
      <c r="D33" s="4" t="s">
        <v>97</v>
      </c>
      <c r="E33" s="4" t="s">
        <v>129</v>
      </c>
      <c r="F33" s="4" t="s">
        <v>99</v>
      </c>
      <c r="G33" s="4" t="s">
        <v>100</v>
      </c>
      <c r="H33" s="6">
        <v>2</v>
      </c>
      <c r="I33" s="6">
        <v>0</v>
      </c>
      <c r="J33" s="4" t="s">
        <v>126</v>
      </c>
    </row>
    <row r="34" spans="1:10" ht="78" customHeight="1">
      <c r="A34" s="4" t="s">
        <v>130</v>
      </c>
      <c r="B34" s="4" t="s">
        <v>131</v>
      </c>
      <c r="C34" s="4" t="s">
        <v>23</v>
      </c>
      <c r="D34" s="4" t="s">
        <v>97</v>
      </c>
      <c r="E34" s="4" t="s">
        <v>132</v>
      </c>
      <c r="F34" s="4" t="s">
        <v>99</v>
      </c>
      <c r="G34" s="4" t="s">
        <v>100</v>
      </c>
      <c r="H34" s="6">
        <v>2</v>
      </c>
      <c r="I34" s="6">
        <v>0</v>
      </c>
      <c r="J34" s="4" t="s">
        <v>101</v>
      </c>
    </row>
    <row r="35" spans="1:10" ht="78" customHeight="1">
      <c r="A35" s="4" t="s">
        <v>133</v>
      </c>
      <c r="B35" s="4" t="s">
        <v>134</v>
      </c>
      <c r="C35" s="4" t="s">
        <v>23</v>
      </c>
      <c r="D35" s="4" t="s">
        <v>60</v>
      </c>
      <c r="E35" s="4" t="s">
        <v>135</v>
      </c>
      <c r="F35" s="4" t="s">
        <v>62</v>
      </c>
      <c r="G35" s="4" t="s">
        <v>136</v>
      </c>
      <c r="H35" s="6">
        <v>4</v>
      </c>
      <c r="I35" s="6">
        <v>0</v>
      </c>
      <c r="J35" s="4" t="s">
        <v>137</v>
      </c>
    </row>
    <row r="36" spans="1:10" ht="78" customHeight="1">
      <c r="A36" s="4" t="s">
        <v>254</v>
      </c>
      <c r="B36" s="4" t="s">
        <v>139</v>
      </c>
      <c r="C36" s="4" t="s">
        <v>23</v>
      </c>
      <c r="D36" s="4" t="s">
        <v>39</v>
      </c>
      <c r="E36" s="4" t="s">
        <v>140</v>
      </c>
      <c r="F36" s="4" t="s">
        <v>141</v>
      </c>
      <c r="G36" s="4" t="s">
        <v>142</v>
      </c>
      <c r="H36" s="6">
        <v>10</v>
      </c>
      <c r="I36" s="6">
        <v>0</v>
      </c>
      <c r="J36" s="4" t="s">
        <v>143</v>
      </c>
    </row>
    <row r="37" spans="1:10" ht="78" customHeight="1">
      <c r="A37" s="4" t="s">
        <v>144</v>
      </c>
      <c r="B37" s="4" t="s">
        <v>145</v>
      </c>
      <c r="C37" s="4" t="s">
        <v>23</v>
      </c>
      <c r="D37" s="4" t="s">
        <v>97</v>
      </c>
      <c r="E37" s="4" t="s">
        <v>146</v>
      </c>
      <c r="F37" s="4" t="s">
        <v>99</v>
      </c>
      <c r="G37" s="4" t="s">
        <v>100</v>
      </c>
      <c r="H37" s="6">
        <v>2</v>
      </c>
      <c r="I37" s="6">
        <v>0</v>
      </c>
      <c r="J37" s="4" t="s">
        <v>147</v>
      </c>
    </row>
    <row r="38" spans="1:10" ht="78" customHeight="1">
      <c r="A38" s="4" t="s">
        <v>258</v>
      </c>
      <c r="B38" s="4" t="s">
        <v>149</v>
      </c>
      <c r="C38" s="4" t="s">
        <v>23</v>
      </c>
      <c r="D38" s="4" t="s">
        <v>97</v>
      </c>
      <c r="E38" s="4" t="s">
        <v>150</v>
      </c>
      <c r="F38" s="4" t="s">
        <v>99</v>
      </c>
      <c r="G38" s="4" t="s">
        <v>100</v>
      </c>
      <c r="H38" s="6">
        <v>2</v>
      </c>
      <c r="I38" s="6">
        <v>0</v>
      </c>
      <c r="J38" s="4" t="s">
        <v>151</v>
      </c>
    </row>
    <row r="39" spans="1:10" ht="78" customHeight="1">
      <c r="A39" s="4" t="s">
        <v>152</v>
      </c>
      <c r="B39" s="4" t="s">
        <v>153</v>
      </c>
      <c r="C39" s="4" t="s">
        <v>23</v>
      </c>
      <c r="D39" s="4" t="s">
        <v>97</v>
      </c>
      <c r="E39" s="4" t="s">
        <v>154</v>
      </c>
      <c r="F39" s="4" t="s">
        <v>255</v>
      </c>
      <c r="G39" s="4" t="s">
        <v>100</v>
      </c>
      <c r="H39" s="6">
        <v>2</v>
      </c>
      <c r="I39" s="6">
        <v>0</v>
      </c>
      <c r="J39" s="4" t="s">
        <v>151</v>
      </c>
    </row>
    <row r="40" spans="1:10" ht="78" customHeight="1">
      <c r="A40" s="4" t="s">
        <v>155</v>
      </c>
      <c r="B40" s="4" t="s">
        <v>156</v>
      </c>
      <c r="C40" s="4" t="s">
        <v>23</v>
      </c>
      <c r="D40" s="4" t="s">
        <v>97</v>
      </c>
      <c r="E40" s="4" t="s">
        <v>157</v>
      </c>
      <c r="F40" s="4" t="s">
        <v>99</v>
      </c>
      <c r="G40" s="4" t="s">
        <v>100</v>
      </c>
      <c r="H40" s="6">
        <v>2</v>
      </c>
      <c r="I40" s="6">
        <v>0</v>
      </c>
      <c r="J40" s="4" t="s">
        <v>151</v>
      </c>
    </row>
    <row r="41" spans="1:10" ht="78" customHeight="1">
      <c r="A41" s="4" t="s">
        <v>158</v>
      </c>
      <c r="B41" s="4" t="s">
        <v>159</v>
      </c>
      <c r="C41" s="4" t="s">
        <v>23</v>
      </c>
      <c r="D41" s="4" t="s">
        <v>97</v>
      </c>
      <c r="E41" s="4" t="s">
        <v>160</v>
      </c>
      <c r="F41" s="4" t="s">
        <v>99</v>
      </c>
      <c r="G41" s="4" t="s">
        <v>100</v>
      </c>
      <c r="H41" s="6">
        <v>2</v>
      </c>
      <c r="I41" s="6">
        <v>0</v>
      </c>
      <c r="J41" s="4" t="s">
        <v>151</v>
      </c>
    </row>
    <row r="42" spans="1:10" ht="78" customHeight="1">
      <c r="A42" s="4" t="s">
        <v>161</v>
      </c>
      <c r="B42" s="4" t="s">
        <v>162</v>
      </c>
      <c r="C42" s="4" t="s">
        <v>23</v>
      </c>
      <c r="D42" s="4" t="s">
        <v>97</v>
      </c>
      <c r="E42" s="4" t="s">
        <v>163</v>
      </c>
      <c r="F42" s="4" t="s">
        <v>99</v>
      </c>
      <c r="G42" s="4" t="s">
        <v>100</v>
      </c>
      <c r="H42" s="6">
        <v>2</v>
      </c>
      <c r="I42" s="6">
        <v>0</v>
      </c>
      <c r="J42" s="4" t="s">
        <v>151</v>
      </c>
    </row>
    <row r="43" spans="1:10" ht="78" customHeight="1">
      <c r="A43" s="4" t="s">
        <v>164</v>
      </c>
      <c r="B43" s="4" t="s">
        <v>165</v>
      </c>
      <c r="C43" s="4" t="s">
        <v>23</v>
      </c>
      <c r="D43" s="4" t="s">
        <v>97</v>
      </c>
      <c r="E43" s="4" t="s">
        <v>166</v>
      </c>
      <c r="F43" s="4" t="s">
        <v>99</v>
      </c>
      <c r="G43" s="4" t="s">
        <v>100</v>
      </c>
      <c r="H43" s="6">
        <v>2</v>
      </c>
      <c r="I43" s="6">
        <v>0</v>
      </c>
      <c r="J43" s="4" t="s">
        <v>151</v>
      </c>
    </row>
    <row r="44" spans="1:10" ht="78" customHeight="1">
      <c r="A44" s="4" t="s">
        <v>167</v>
      </c>
      <c r="B44" s="4" t="s">
        <v>168</v>
      </c>
      <c r="C44" s="4" t="s">
        <v>23</v>
      </c>
      <c r="D44" s="4" t="s">
        <v>97</v>
      </c>
      <c r="E44" s="4" t="s">
        <v>169</v>
      </c>
      <c r="F44" s="4" t="s">
        <v>99</v>
      </c>
      <c r="G44" s="4" t="s">
        <v>100</v>
      </c>
      <c r="H44" s="6">
        <v>2</v>
      </c>
      <c r="I44" s="6">
        <v>0</v>
      </c>
      <c r="J44" s="4" t="s">
        <v>151</v>
      </c>
    </row>
    <row r="45" spans="1:10" ht="78" customHeight="1">
      <c r="A45" s="4" t="s">
        <v>170</v>
      </c>
      <c r="B45" s="4" t="s">
        <v>171</v>
      </c>
      <c r="C45" s="4" t="s">
        <v>23</v>
      </c>
      <c r="D45" s="4" t="s">
        <v>97</v>
      </c>
      <c r="E45" s="4" t="s">
        <v>172</v>
      </c>
      <c r="F45" s="4" t="s">
        <v>99</v>
      </c>
      <c r="G45" s="4" t="s">
        <v>100</v>
      </c>
      <c r="H45" s="6">
        <v>2</v>
      </c>
      <c r="I45" s="6">
        <v>0</v>
      </c>
      <c r="J45" s="4" t="s">
        <v>151</v>
      </c>
    </row>
    <row r="46" spans="1:10" ht="78" customHeight="1">
      <c r="A46" s="4" t="s">
        <v>173</v>
      </c>
      <c r="B46" s="4" t="s">
        <v>174</v>
      </c>
      <c r="C46" s="4" t="s">
        <v>23</v>
      </c>
      <c r="D46" s="4" t="s">
        <v>97</v>
      </c>
      <c r="E46" s="4" t="s">
        <v>175</v>
      </c>
      <c r="F46" s="4" t="s">
        <v>99</v>
      </c>
      <c r="G46" s="4" t="s">
        <v>100</v>
      </c>
      <c r="H46" s="6">
        <v>2</v>
      </c>
      <c r="I46" s="6">
        <v>0</v>
      </c>
      <c r="J46" s="4" t="s">
        <v>176</v>
      </c>
    </row>
    <row r="47" spans="1:10" ht="78" customHeight="1">
      <c r="A47" s="4" t="s">
        <v>177</v>
      </c>
      <c r="B47" s="4" t="s">
        <v>178</v>
      </c>
      <c r="C47" s="4" t="s">
        <v>23</v>
      </c>
      <c r="D47" s="4" t="s">
        <v>97</v>
      </c>
      <c r="E47" s="4" t="s">
        <v>179</v>
      </c>
      <c r="F47" s="4" t="s">
        <v>99</v>
      </c>
      <c r="G47" s="4" t="s">
        <v>100</v>
      </c>
      <c r="H47" s="6">
        <v>2</v>
      </c>
      <c r="I47" s="6">
        <v>0</v>
      </c>
      <c r="J47" s="4" t="s">
        <v>151</v>
      </c>
    </row>
    <row r="48" spans="1:10" ht="78" customHeight="1">
      <c r="A48" s="5" t="s">
        <v>259</v>
      </c>
      <c r="B48" s="5" t="s">
        <v>181</v>
      </c>
      <c r="C48" s="5" t="s">
        <v>182</v>
      </c>
      <c r="D48" s="5" t="s">
        <v>183</v>
      </c>
      <c r="E48" s="5" t="s">
        <v>184</v>
      </c>
      <c r="F48" s="5" t="s">
        <v>185</v>
      </c>
      <c r="G48" s="5" t="s">
        <v>186</v>
      </c>
      <c r="H48" s="7">
        <v>3</v>
      </c>
      <c r="I48" s="7">
        <v>0</v>
      </c>
      <c r="J48" s="5" t="s">
        <v>187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"/>
  <sheetViews>
    <sheetView showGridLines="0" workbookViewId="0">
      <selection activeCell="B15" sqref="B15"/>
    </sheetView>
  </sheetViews>
  <sheetFormatPr defaultRowHeight="14"/>
  <cols>
    <col min="1" max="1" width="37.75" customWidth="1"/>
    <col min="2" max="2" width="42.25" customWidth="1"/>
    <col min="3" max="3" width="10" customWidth="1"/>
    <col min="4" max="4" width="12.75" customWidth="1"/>
    <col min="5" max="5" width="12.25" customWidth="1"/>
    <col min="6" max="6" width="11.08203125" customWidth="1"/>
  </cols>
  <sheetData>
    <row r="1" spans="1:6">
      <c r="A1" s="1"/>
      <c r="B1" s="1"/>
      <c r="C1" s="1"/>
      <c r="D1" s="1"/>
      <c r="E1" s="1"/>
      <c r="F1" s="1"/>
    </row>
    <row r="2" spans="1:6" ht="20">
      <c r="A2" s="2" t="s">
        <v>188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ht="30" customHeight="1">
      <c r="A4" s="3" t="s">
        <v>189</v>
      </c>
      <c r="B4" s="3" t="s">
        <v>190</v>
      </c>
      <c r="C4" s="1"/>
      <c r="D4" s="3" t="s">
        <v>191</v>
      </c>
      <c r="E4" s="3" t="s">
        <v>192</v>
      </c>
      <c r="F4" s="3" t="s">
        <v>193</v>
      </c>
    </row>
    <row r="5" spans="1:6">
      <c r="A5" s="1" t="s">
        <v>194</v>
      </c>
      <c r="B5" s="8">
        <v>260601</v>
      </c>
      <c r="C5" s="1"/>
      <c r="D5" s="1">
        <v>1</v>
      </c>
      <c r="E5" s="8">
        <v>25124</v>
      </c>
      <c r="F5" s="9">
        <f>E5/$E$8</f>
        <v>9.6407918618884814E-2</v>
      </c>
    </row>
    <row r="6" spans="1:6">
      <c r="A6" s="1" t="s">
        <v>195</v>
      </c>
      <c r="B6" s="8">
        <v>40</v>
      </c>
      <c r="C6" s="1"/>
      <c r="D6" s="1">
        <v>2</v>
      </c>
      <c r="E6" s="8">
        <v>148259</v>
      </c>
      <c r="F6" s="9">
        <f>E6/$E$8</f>
        <v>0.56891186142800676</v>
      </c>
    </row>
    <row r="7" spans="1:6">
      <c r="A7" s="1" t="s">
        <v>196</v>
      </c>
      <c r="B7" s="8">
        <v>0</v>
      </c>
      <c r="C7" s="1"/>
      <c r="D7" s="1">
        <v>3</v>
      </c>
      <c r="E7" s="8">
        <v>87218</v>
      </c>
      <c r="F7" s="9">
        <f>E7/$E$8</f>
        <v>0.33468021995310837</v>
      </c>
    </row>
    <row r="8" spans="1:6">
      <c r="A8" s="1" t="s">
        <v>197</v>
      </c>
      <c r="B8" s="8">
        <v>0</v>
      </c>
      <c r="C8" s="1"/>
      <c r="D8" s="1" t="s">
        <v>198</v>
      </c>
      <c r="E8" s="8">
        <f>SUM(E5:E7)</f>
        <v>260601</v>
      </c>
      <c r="F8" s="9">
        <f>E8/$E$8</f>
        <v>1</v>
      </c>
    </row>
    <row r="9" spans="1:6">
      <c r="A9" s="1" t="s">
        <v>199</v>
      </c>
      <c r="B9" s="8">
        <v>1390</v>
      </c>
      <c r="C9" s="1"/>
      <c r="D9" s="1"/>
      <c r="E9" s="1"/>
      <c r="F9" s="1"/>
    </row>
    <row r="10" spans="1:6">
      <c r="A10" s="1" t="s">
        <v>200</v>
      </c>
      <c r="B10" s="8">
        <v>20862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 ht="94" customHeight="1">
      <c r="A12" s="10" t="s">
        <v>201</v>
      </c>
      <c r="B12" s="4" t="s">
        <v>202</v>
      </c>
      <c r="C12" s="4"/>
      <c r="D12" s="4"/>
      <c r="E12" s="4"/>
      <c r="F12" s="4"/>
    </row>
    <row r="13" spans="1:6" ht="94" customHeight="1">
      <c r="A13" s="10" t="s">
        <v>203</v>
      </c>
      <c r="B13" s="4" t="s">
        <v>204</v>
      </c>
      <c r="C13" s="4"/>
      <c r="D13" s="4"/>
      <c r="E13" s="4"/>
      <c r="F13" s="4"/>
    </row>
    <row r="14" spans="1:6" ht="94" customHeight="1">
      <c r="A14" s="10" t="s">
        <v>205</v>
      </c>
      <c r="B14" s="4" t="s">
        <v>206</v>
      </c>
      <c r="C14" s="4"/>
      <c r="D14" s="4"/>
      <c r="E14" s="4"/>
      <c r="F14" s="4"/>
    </row>
    <row r="15" spans="1:6" ht="94" customHeight="1">
      <c r="A15" s="10" t="s">
        <v>207</v>
      </c>
      <c r="B15" s="4" t="s">
        <v>208</v>
      </c>
      <c r="C15" s="4"/>
      <c r="D15" s="4"/>
      <c r="E15" s="4"/>
      <c r="F15" s="4"/>
    </row>
    <row r="16" spans="1:6" ht="94" customHeight="1">
      <c r="A16" s="10" t="s">
        <v>209</v>
      </c>
      <c r="B16" s="4" t="s">
        <v>210</v>
      </c>
      <c r="C16" s="4"/>
      <c r="D16" s="4"/>
      <c r="E16" s="4"/>
      <c r="F16" s="4"/>
    </row>
    <row r="17" spans="1:6" ht="94" customHeight="1">
      <c r="A17" s="10" t="s">
        <v>211</v>
      </c>
      <c r="B17" s="4" t="s">
        <v>212</v>
      </c>
      <c r="C17" s="4"/>
      <c r="D17" s="4"/>
      <c r="E17" s="4"/>
      <c r="F17" s="4"/>
    </row>
    <row r="18" spans="1:6" ht="94" customHeight="1">
      <c r="A18" s="10" t="s">
        <v>213</v>
      </c>
      <c r="B18" s="4" t="s">
        <v>214</v>
      </c>
      <c r="C18" s="4"/>
      <c r="D18" s="4"/>
      <c r="E18" s="4"/>
      <c r="F18" s="4"/>
    </row>
    <row r="19" spans="1:6" ht="94" customHeight="1">
      <c r="A19" s="10" t="s">
        <v>215</v>
      </c>
      <c r="B19" s="4" t="s">
        <v>216</v>
      </c>
      <c r="C19" s="4"/>
      <c r="D19" s="4"/>
      <c r="E19" s="4"/>
      <c r="F19" s="4"/>
    </row>
    <row r="20" spans="1:6" ht="94" customHeight="1">
      <c r="A20" s="10" t="s">
        <v>217</v>
      </c>
      <c r="B20" s="4" t="s">
        <v>218</v>
      </c>
      <c r="C20" s="4"/>
      <c r="D20" s="4"/>
      <c r="E20" s="4"/>
      <c r="F20" s="4"/>
    </row>
    <row r="21" spans="1:6" ht="94" customHeight="1">
      <c r="A21" s="10" t="s">
        <v>219</v>
      </c>
      <c r="B21" s="4" t="s">
        <v>220</v>
      </c>
      <c r="C21" s="4"/>
      <c r="D21" s="4"/>
      <c r="E21" s="4"/>
      <c r="F21" s="4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 ht="30" customHeight="1">
      <c r="A24" s="3" t="s">
        <v>5</v>
      </c>
      <c r="B24" s="3" t="s">
        <v>221</v>
      </c>
      <c r="C24" s="3" t="s">
        <v>192</v>
      </c>
      <c r="D24" s="3" t="s">
        <v>193</v>
      </c>
      <c r="E24" s="1"/>
      <c r="F24" s="1"/>
    </row>
    <row r="25" spans="1:6" ht="24" customHeight="1">
      <c r="A25" s="1" t="s">
        <v>37</v>
      </c>
      <c r="B25" s="1" t="s">
        <v>222</v>
      </c>
      <c r="C25" s="8">
        <v>40441</v>
      </c>
      <c r="D25" s="9">
        <v>0.15518359484422548</v>
      </c>
      <c r="E25" s="1"/>
      <c r="F25" s="1"/>
    </row>
    <row r="26" spans="1:6" ht="24" customHeight="1">
      <c r="A26" s="1" t="s">
        <v>37</v>
      </c>
      <c r="B26" s="1" t="s">
        <v>223</v>
      </c>
      <c r="C26" s="8">
        <v>156623</v>
      </c>
      <c r="D26" s="9">
        <v>0.60100690327358686</v>
      </c>
      <c r="E26" s="1"/>
      <c r="F26" s="1"/>
    </row>
    <row r="27" spans="1:6" ht="24" customHeight="1">
      <c r="A27" s="1" t="s">
        <v>37</v>
      </c>
      <c r="B27" s="1" t="s">
        <v>224</v>
      </c>
      <c r="C27" s="8">
        <v>55617</v>
      </c>
      <c r="D27" s="9">
        <v>0.21341821405136588</v>
      </c>
      <c r="E27" s="1"/>
      <c r="F27" s="1"/>
    </row>
    <row r="28" spans="1:6" ht="24" customHeight="1">
      <c r="A28" s="1" t="s">
        <v>37</v>
      </c>
      <c r="B28" s="1" t="s">
        <v>225</v>
      </c>
      <c r="C28" s="8">
        <v>5424</v>
      </c>
      <c r="D28" s="9">
        <v>2.0813427423532527E-2</v>
      </c>
      <c r="E28" s="1"/>
      <c r="F28" s="1"/>
    </row>
    <row r="29" spans="1:6" ht="24" customHeight="1">
      <c r="A29" s="1" t="s">
        <v>37</v>
      </c>
      <c r="B29" s="1" t="s">
        <v>226</v>
      </c>
      <c r="C29" s="8">
        <v>2246</v>
      </c>
      <c r="D29" s="9">
        <v>8.6185394530335652E-3</v>
      </c>
      <c r="E29" s="1"/>
      <c r="F29" s="1"/>
    </row>
    <row r="30" spans="1:6" ht="24" customHeight="1">
      <c r="A30" s="1" t="s">
        <v>37</v>
      </c>
      <c r="B30" s="1" t="s">
        <v>227</v>
      </c>
      <c r="C30" s="8">
        <v>209</v>
      </c>
      <c r="D30" s="9">
        <v>8.0199231775779833E-4</v>
      </c>
      <c r="E30" s="1"/>
      <c r="F30" s="1"/>
    </row>
    <row r="31" spans="1:6" ht="24" customHeight="1">
      <c r="A31" s="1" t="s">
        <v>37</v>
      </c>
      <c r="B31" s="1" t="s">
        <v>228</v>
      </c>
      <c r="C31" s="8">
        <v>39</v>
      </c>
      <c r="D31" s="9">
        <v>1.4965406886389537E-4</v>
      </c>
      <c r="E31" s="1"/>
      <c r="F31" s="1"/>
    </row>
    <row r="32" spans="1:6" ht="24" customHeight="1">
      <c r="A32" s="1" t="s">
        <v>37</v>
      </c>
      <c r="B32" s="1" t="s">
        <v>229</v>
      </c>
      <c r="C32" s="8">
        <v>1</v>
      </c>
      <c r="D32" s="9">
        <v>3.8372838170229586E-6</v>
      </c>
      <c r="E32" s="1"/>
      <c r="F32" s="1"/>
    </row>
    <row r="33" spans="1:6" ht="24" customHeight="1">
      <c r="A33" s="1" t="s">
        <v>37</v>
      </c>
      <c r="B33" s="1" t="s">
        <v>230</v>
      </c>
      <c r="C33" s="8">
        <v>1</v>
      </c>
      <c r="D33" s="9">
        <v>3.8372838170229586E-6</v>
      </c>
      <c r="E33" s="1"/>
      <c r="F33" s="1"/>
    </row>
    <row r="34" spans="1:6" ht="24" customHeight="1">
      <c r="A34" s="1" t="s">
        <v>58</v>
      </c>
      <c r="B34" s="1" t="s">
        <v>231</v>
      </c>
      <c r="C34" s="8">
        <v>35528</v>
      </c>
      <c r="D34" s="9">
        <v>0.13633101945119167</v>
      </c>
      <c r="E34" s="1"/>
      <c r="F34" s="1"/>
    </row>
    <row r="35" spans="1:6" ht="24" customHeight="1">
      <c r="A35" s="1" t="s">
        <v>58</v>
      </c>
      <c r="B35" s="1" t="s">
        <v>232</v>
      </c>
      <c r="C35" s="8">
        <v>8316</v>
      </c>
      <c r="D35" s="9">
        <v>3.1910852222362923E-2</v>
      </c>
      <c r="E35" s="1"/>
      <c r="F35" s="1"/>
    </row>
    <row r="36" spans="1:6" ht="24" customHeight="1">
      <c r="A36" s="1" t="s">
        <v>58</v>
      </c>
      <c r="B36" s="1" t="s">
        <v>233</v>
      </c>
      <c r="C36" s="8">
        <v>216757</v>
      </c>
      <c r="D36" s="9">
        <v>0.83175812832644536</v>
      </c>
      <c r="E36" s="1"/>
      <c r="F36" s="1"/>
    </row>
    <row r="37" spans="1:6" ht="24" customHeight="1">
      <c r="A37" s="1" t="s">
        <v>65</v>
      </c>
      <c r="B37" s="1" t="s">
        <v>234</v>
      </c>
      <c r="C37" s="8">
        <v>1448</v>
      </c>
      <c r="D37" s="9">
        <v>5.5563869670492436E-3</v>
      </c>
      <c r="E37" s="1"/>
      <c r="F37" s="1"/>
    </row>
    <row r="38" spans="1:6" ht="24" customHeight="1">
      <c r="A38" s="1" t="s">
        <v>65</v>
      </c>
      <c r="B38" s="1" t="s">
        <v>235</v>
      </c>
      <c r="C38" s="8">
        <v>10579</v>
      </c>
      <c r="D38" s="9">
        <v>4.0594625500285877E-2</v>
      </c>
      <c r="E38" s="1"/>
      <c r="F38" s="1"/>
    </row>
    <row r="39" spans="1:6" ht="24" customHeight="1">
      <c r="A39" s="1" t="s">
        <v>65</v>
      </c>
      <c r="B39" s="1" t="s">
        <v>236</v>
      </c>
      <c r="C39" s="8">
        <v>219196</v>
      </c>
      <c r="D39" s="9">
        <v>0.84111726355616445</v>
      </c>
      <c r="E39" s="1"/>
      <c r="F39" s="1"/>
    </row>
    <row r="40" spans="1:6" ht="24" customHeight="1">
      <c r="A40" s="1" t="s">
        <v>65</v>
      </c>
      <c r="B40" s="1" t="s">
        <v>237</v>
      </c>
      <c r="C40" s="8">
        <v>14260</v>
      </c>
      <c r="D40" s="9">
        <v>5.4719667230747386E-2</v>
      </c>
      <c r="E40" s="1"/>
      <c r="F40" s="1"/>
    </row>
    <row r="41" spans="1:6" ht="24" customHeight="1">
      <c r="A41" s="1" t="s">
        <v>65</v>
      </c>
      <c r="B41" s="1" t="s">
        <v>238</v>
      </c>
      <c r="C41" s="8">
        <v>15118</v>
      </c>
      <c r="D41" s="9">
        <v>5.8012056745753084E-2</v>
      </c>
      <c r="E41" s="1"/>
      <c r="F41" s="1"/>
    </row>
    <row r="42" spans="1:6" ht="24" customHeight="1">
      <c r="A42" s="1" t="s">
        <v>70</v>
      </c>
      <c r="B42" s="1" t="s">
        <v>231</v>
      </c>
      <c r="C42" s="8">
        <v>182842</v>
      </c>
      <c r="D42" s="9">
        <v>0.70161664767211174</v>
      </c>
      <c r="E42" s="1"/>
      <c r="F42" s="1"/>
    </row>
    <row r="43" spans="1:6" ht="24" customHeight="1">
      <c r="A43" s="1" t="s">
        <v>70</v>
      </c>
      <c r="B43" s="1" t="s">
        <v>239</v>
      </c>
      <c r="C43" s="8">
        <v>61576</v>
      </c>
      <c r="D43" s="9">
        <v>0.23628458831700569</v>
      </c>
      <c r="E43" s="1"/>
      <c r="F43" s="1"/>
    </row>
    <row r="44" spans="1:6" ht="24" customHeight="1">
      <c r="A44" s="1" t="s">
        <v>70</v>
      </c>
      <c r="B44" s="1" t="s">
        <v>240</v>
      </c>
      <c r="C44" s="8">
        <v>16183</v>
      </c>
      <c r="D44" s="9">
        <v>6.2098764010882539E-2</v>
      </c>
      <c r="E44" s="1"/>
      <c r="F44" s="1"/>
    </row>
    <row r="45" spans="1:6" ht="24" customHeight="1">
      <c r="A45" s="1" t="s">
        <v>75</v>
      </c>
      <c r="B45" s="1" t="s">
        <v>241</v>
      </c>
      <c r="C45" s="8">
        <v>209619</v>
      </c>
      <c r="D45" s="9">
        <v>0.80436759644053557</v>
      </c>
      <c r="E45" s="1"/>
      <c r="F45" s="1"/>
    </row>
    <row r="46" spans="1:6" ht="24" customHeight="1">
      <c r="A46" s="1" t="s">
        <v>75</v>
      </c>
      <c r="B46" s="1" t="s">
        <v>242</v>
      </c>
      <c r="C46" s="8">
        <v>508</v>
      </c>
      <c r="D46" s="9">
        <v>1.9493401790476629E-3</v>
      </c>
      <c r="E46" s="1"/>
      <c r="F46" s="1"/>
    </row>
    <row r="47" spans="1:6" ht="24" customHeight="1">
      <c r="A47" s="1" t="s">
        <v>75</v>
      </c>
      <c r="B47" s="1" t="s">
        <v>243</v>
      </c>
      <c r="C47" s="8">
        <v>24593</v>
      </c>
      <c r="D47" s="9">
        <v>9.4370320912045613E-2</v>
      </c>
      <c r="E47" s="1"/>
      <c r="F47" s="1"/>
    </row>
    <row r="48" spans="1:6" ht="24" customHeight="1">
      <c r="A48" s="1" t="s">
        <v>75</v>
      </c>
      <c r="B48" s="1" t="s">
        <v>240</v>
      </c>
      <c r="C48" s="8">
        <v>24877</v>
      </c>
      <c r="D48" s="9">
        <v>9.5460109516080138E-2</v>
      </c>
      <c r="E48" s="1"/>
      <c r="F48" s="1"/>
    </row>
    <row r="49" spans="1:6" ht="24" customHeight="1">
      <c r="A49" s="1" t="s">
        <v>75</v>
      </c>
      <c r="B49" s="1" t="s">
        <v>244</v>
      </c>
      <c r="C49" s="8">
        <v>1004</v>
      </c>
      <c r="D49" s="9">
        <v>3.8526329522910502E-3</v>
      </c>
      <c r="E49" s="1"/>
      <c r="F49" s="1"/>
    </row>
    <row r="50" spans="1:6" ht="24" customHeight="1">
      <c r="A50" s="1" t="s">
        <v>80</v>
      </c>
      <c r="B50" s="1" t="s">
        <v>245</v>
      </c>
      <c r="C50" s="8">
        <v>39843</v>
      </c>
      <c r="D50" s="9">
        <v>0.15288889912164574</v>
      </c>
      <c r="E50" s="1"/>
      <c r="F50" s="1"/>
    </row>
    <row r="51" spans="1:6" ht="24" customHeight="1">
      <c r="A51" s="1" t="s">
        <v>80</v>
      </c>
      <c r="B51" s="1" t="s">
        <v>239</v>
      </c>
      <c r="C51" s="8">
        <v>165282</v>
      </c>
      <c r="D51" s="9">
        <v>0.63423394384518861</v>
      </c>
      <c r="E51" s="1"/>
      <c r="F51" s="1"/>
    </row>
    <row r="52" spans="1:6" ht="24" customHeight="1">
      <c r="A52" s="1" t="s">
        <v>80</v>
      </c>
      <c r="B52" s="1" t="s">
        <v>246</v>
      </c>
      <c r="C52" s="8">
        <v>12028</v>
      </c>
      <c r="D52" s="9">
        <v>4.6154849751152145E-2</v>
      </c>
      <c r="E52" s="1"/>
      <c r="F52" s="1"/>
    </row>
    <row r="53" spans="1:6" ht="24" customHeight="1">
      <c r="A53" s="1" t="s">
        <v>80</v>
      </c>
      <c r="B53" s="1" t="s">
        <v>240</v>
      </c>
      <c r="C53" s="8">
        <v>43448</v>
      </c>
      <c r="D53" s="9">
        <v>0.16672230728201351</v>
      </c>
      <c r="E53" s="1"/>
      <c r="F53" s="1"/>
    </row>
    <row r="54" spans="1:6" ht="24" customHeight="1">
      <c r="A54" s="1" t="s">
        <v>85</v>
      </c>
      <c r="B54" s="1" t="s">
        <v>245</v>
      </c>
      <c r="C54" s="8">
        <v>13282</v>
      </c>
      <c r="D54" s="9">
        <v>5.0966803657698935E-2</v>
      </c>
      <c r="E54" s="1"/>
      <c r="F54" s="1"/>
    </row>
    <row r="55" spans="1:6" ht="24" customHeight="1">
      <c r="A55" s="1" t="s">
        <v>85</v>
      </c>
      <c r="B55" s="1" t="s">
        <v>232</v>
      </c>
      <c r="C55" s="8">
        <v>2333</v>
      </c>
      <c r="D55" s="9">
        <v>8.9523831451145622E-3</v>
      </c>
      <c r="E55" s="1"/>
      <c r="F55" s="1"/>
    </row>
    <row r="56" spans="1:6" ht="24" customHeight="1">
      <c r="A56" s="1" t="s">
        <v>85</v>
      </c>
      <c r="B56" s="1" t="s">
        <v>246</v>
      </c>
      <c r="C56" s="8">
        <v>202090</v>
      </c>
      <c r="D56" s="9">
        <v>0.77547668658216973</v>
      </c>
      <c r="E56" s="1"/>
      <c r="F56" s="1"/>
    </row>
    <row r="57" spans="1:6" ht="24" customHeight="1">
      <c r="A57" s="1" t="s">
        <v>85</v>
      </c>
      <c r="B57" s="1" t="s">
        <v>233</v>
      </c>
      <c r="C57" s="8">
        <v>42896</v>
      </c>
      <c r="D57" s="9">
        <v>0.16460412661501683</v>
      </c>
      <c r="E57" s="1"/>
      <c r="F57" s="1"/>
    </row>
    <row r="58" spans="1:6" ht="24" customHeight="1">
      <c r="A58" s="1" t="s">
        <v>90</v>
      </c>
      <c r="B58" s="1" t="s">
        <v>247</v>
      </c>
      <c r="C58" s="8">
        <v>252</v>
      </c>
      <c r="D58" s="9">
        <v>9.6699552188978552E-4</v>
      </c>
      <c r="E58" s="1"/>
      <c r="F58" s="1"/>
    </row>
    <row r="59" spans="1:6" ht="24" customHeight="1">
      <c r="A59" s="1" t="s">
        <v>90</v>
      </c>
      <c r="B59" s="1" t="s">
        <v>248</v>
      </c>
      <c r="C59" s="8">
        <v>325</v>
      </c>
      <c r="D59" s="9">
        <v>1.2471172405324614E-3</v>
      </c>
      <c r="E59" s="1"/>
      <c r="F59" s="1"/>
    </row>
    <row r="60" spans="1:6" ht="24" customHeight="1">
      <c r="A60" s="1" t="s">
        <v>90</v>
      </c>
      <c r="B60" s="1" t="s">
        <v>249</v>
      </c>
      <c r="C60" s="8">
        <v>250072</v>
      </c>
      <c r="D60" s="9">
        <v>0.95959723869056524</v>
      </c>
      <c r="E60" s="1"/>
      <c r="F60" s="1"/>
    </row>
    <row r="61" spans="1:6" ht="24" customHeight="1">
      <c r="A61" s="1" t="s">
        <v>90</v>
      </c>
      <c r="B61" s="1" t="s">
        <v>241</v>
      </c>
      <c r="C61" s="8">
        <v>22</v>
      </c>
      <c r="D61" s="9">
        <v>8.442024397450509E-5</v>
      </c>
      <c r="E61" s="1"/>
      <c r="F61" s="1"/>
    </row>
    <row r="62" spans="1:6" ht="24" customHeight="1">
      <c r="A62" s="1" t="s">
        <v>90</v>
      </c>
      <c r="B62" s="1" t="s">
        <v>242</v>
      </c>
      <c r="C62" s="8">
        <v>46</v>
      </c>
      <c r="D62" s="9">
        <v>1.7651505558305609E-4</v>
      </c>
      <c r="E62" s="1"/>
      <c r="F62" s="1"/>
    </row>
    <row r="63" spans="1:6" ht="24" customHeight="1">
      <c r="A63" s="1" t="s">
        <v>90</v>
      </c>
      <c r="B63" s="1" t="s">
        <v>231</v>
      </c>
      <c r="C63" s="8">
        <v>38</v>
      </c>
      <c r="D63" s="9">
        <v>1.4581678504687243E-4</v>
      </c>
      <c r="E63" s="1"/>
      <c r="F63" s="1"/>
    </row>
    <row r="64" spans="1:6" ht="24" customHeight="1">
      <c r="A64" s="1" t="s">
        <v>90</v>
      </c>
      <c r="B64" s="1" t="s">
        <v>232</v>
      </c>
      <c r="C64" s="8">
        <v>159</v>
      </c>
      <c r="D64" s="9">
        <v>6.1012812690665037E-4</v>
      </c>
      <c r="E64" s="1"/>
      <c r="F64" s="1"/>
    </row>
    <row r="65" spans="1:6" ht="24" customHeight="1">
      <c r="A65" s="1" t="s">
        <v>90</v>
      </c>
      <c r="B65" s="1" t="s">
        <v>239</v>
      </c>
      <c r="C65" s="8">
        <v>5692</v>
      </c>
      <c r="D65" s="9">
        <v>2.184181948649468E-2</v>
      </c>
      <c r="E65" s="1"/>
      <c r="F65" s="1"/>
    </row>
    <row r="66" spans="1:6" ht="24" customHeight="1">
      <c r="A66" s="1" t="s">
        <v>90</v>
      </c>
      <c r="B66" s="1" t="s">
        <v>246</v>
      </c>
      <c r="C66" s="8">
        <v>346</v>
      </c>
      <c r="D66" s="9">
        <v>1.3277002006899436E-3</v>
      </c>
      <c r="E66" s="1"/>
      <c r="F66" s="1"/>
    </row>
    <row r="67" spans="1:6" ht="24" customHeight="1">
      <c r="A67" s="1" t="s">
        <v>90</v>
      </c>
      <c r="B67" s="1" t="s">
        <v>237</v>
      </c>
      <c r="C67" s="8">
        <v>3649</v>
      </c>
      <c r="D67" s="9">
        <v>1.4002248648316775E-2</v>
      </c>
      <c r="E67" s="1"/>
      <c r="F67" s="1"/>
    </row>
    <row r="68" spans="1:6" ht="24" customHeight="1">
      <c r="A68" s="1" t="s">
        <v>95</v>
      </c>
      <c r="B68" s="1" t="s">
        <v>250</v>
      </c>
      <c r="C68" s="8">
        <v>237500</v>
      </c>
      <c r="D68" s="9">
        <v>0.91135490654295259</v>
      </c>
      <c r="E68" s="1"/>
      <c r="F68" s="1"/>
    </row>
    <row r="69" spans="1:6" ht="24" customHeight="1">
      <c r="A69" s="1" t="s">
        <v>95</v>
      </c>
      <c r="B69" s="1" t="s">
        <v>222</v>
      </c>
      <c r="C69" s="8">
        <v>23101</v>
      </c>
      <c r="D69" s="9">
        <v>8.8645093457047366E-2</v>
      </c>
      <c r="E69" s="1"/>
      <c r="F69" s="1"/>
    </row>
    <row r="70" spans="1:6" ht="24" customHeight="1">
      <c r="A70" s="1" t="s">
        <v>102</v>
      </c>
      <c r="B70" s="1" t="s">
        <v>250</v>
      </c>
      <c r="C70" s="8">
        <v>62040</v>
      </c>
      <c r="D70" s="9">
        <v>0.23806508800810433</v>
      </c>
      <c r="E70" s="1"/>
      <c r="F70" s="1"/>
    </row>
    <row r="71" spans="1:6" ht="24" customHeight="1">
      <c r="A71" s="1" t="s">
        <v>102</v>
      </c>
      <c r="B71" s="1" t="s">
        <v>222</v>
      </c>
      <c r="C71" s="8">
        <v>198561</v>
      </c>
      <c r="D71" s="9">
        <v>0.76193491199189567</v>
      </c>
      <c r="E71" s="1"/>
      <c r="F71" s="1"/>
    </row>
    <row r="72" spans="1:6" ht="24" customHeight="1">
      <c r="A72" s="1" t="s">
        <v>104</v>
      </c>
      <c r="B72" s="1" t="s">
        <v>250</v>
      </c>
      <c r="C72" s="8">
        <v>251654</v>
      </c>
      <c r="D72" s="9">
        <v>0.9656678216890956</v>
      </c>
      <c r="E72" s="1"/>
      <c r="F72" s="1"/>
    </row>
    <row r="73" spans="1:6" ht="24" customHeight="1">
      <c r="A73" s="1" t="s">
        <v>104</v>
      </c>
      <c r="B73" s="1" t="s">
        <v>222</v>
      </c>
      <c r="C73" s="8">
        <v>8947</v>
      </c>
      <c r="D73" s="9">
        <v>3.4332178310904411E-2</v>
      </c>
      <c r="E73" s="1"/>
      <c r="F73" s="1"/>
    </row>
    <row r="74" spans="1:6" ht="24" customHeight="1">
      <c r="A74" s="1" t="s">
        <v>108</v>
      </c>
      <c r="B74" s="1" t="s">
        <v>250</v>
      </c>
      <c r="C74" s="8">
        <v>255849</v>
      </c>
      <c r="D74" s="9">
        <v>0.98176522730150695</v>
      </c>
      <c r="E74" s="1"/>
      <c r="F74" s="1"/>
    </row>
    <row r="75" spans="1:6" ht="24" customHeight="1">
      <c r="A75" s="1" t="s">
        <v>108</v>
      </c>
      <c r="B75" s="1" t="s">
        <v>222</v>
      </c>
      <c r="C75" s="8">
        <v>4752</v>
      </c>
      <c r="D75" s="9">
        <v>1.82347726984931E-2</v>
      </c>
      <c r="E75" s="1"/>
      <c r="F75" s="1"/>
    </row>
    <row r="76" spans="1:6" ht="24" customHeight="1">
      <c r="A76" s="1" t="s">
        <v>111</v>
      </c>
      <c r="B76" s="1" t="s">
        <v>250</v>
      </c>
      <c r="C76" s="8">
        <v>242840</v>
      </c>
      <c r="D76" s="9">
        <v>0.93184600212585522</v>
      </c>
      <c r="E76" s="1"/>
      <c r="F76" s="1"/>
    </row>
    <row r="77" spans="1:6" ht="24" customHeight="1">
      <c r="A77" s="1" t="s">
        <v>111</v>
      </c>
      <c r="B77" s="1" t="s">
        <v>222</v>
      </c>
      <c r="C77" s="8">
        <v>17761</v>
      </c>
      <c r="D77" s="9">
        <v>6.8153997874144764E-2</v>
      </c>
      <c r="E77" s="1"/>
      <c r="F77" s="1"/>
    </row>
    <row r="78" spans="1:6" ht="24" customHeight="1">
      <c r="A78" s="1" t="s">
        <v>114</v>
      </c>
      <c r="B78" s="1" t="s">
        <v>250</v>
      </c>
      <c r="C78" s="8">
        <v>240986</v>
      </c>
      <c r="D78" s="9">
        <v>0.92473167792909472</v>
      </c>
      <c r="E78" s="1"/>
      <c r="F78" s="1"/>
    </row>
    <row r="79" spans="1:6" ht="24" customHeight="1">
      <c r="A79" s="1" t="s">
        <v>114</v>
      </c>
      <c r="B79" s="1" t="s">
        <v>222</v>
      </c>
      <c r="C79" s="8">
        <v>19615</v>
      </c>
      <c r="D79" s="9">
        <v>7.5268322070905336E-2</v>
      </c>
      <c r="E79" s="1"/>
      <c r="F79" s="1"/>
    </row>
    <row r="80" spans="1:6" ht="24" customHeight="1">
      <c r="A80" s="1" t="s">
        <v>117</v>
      </c>
      <c r="B80" s="1" t="s">
        <v>250</v>
      </c>
      <c r="C80" s="8">
        <v>194151</v>
      </c>
      <c r="D80" s="9">
        <v>0.74501249035882444</v>
      </c>
      <c r="E80" s="1"/>
      <c r="F80" s="1"/>
    </row>
    <row r="81" spans="1:6" ht="24" customHeight="1">
      <c r="A81" s="1" t="s">
        <v>117</v>
      </c>
      <c r="B81" s="1" t="s">
        <v>222</v>
      </c>
      <c r="C81" s="8">
        <v>66450</v>
      </c>
      <c r="D81" s="9">
        <v>0.25498750964117561</v>
      </c>
      <c r="E81" s="1"/>
      <c r="F81" s="1"/>
    </row>
    <row r="82" spans="1:6" ht="24" customHeight="1">
      <c r="A82" s="1" t="s">
        <v>120</v>
      </c>
      <c r="B82" s="1" t="s">
        <v>250</v>
      </c>
      <c r="C82" s="8">
        <v>238447</v>
      </c>
      <c r="D82" s="9">
        <v>0.91498881431767343</v>
      </c>
      <c r="E82" s="1"/>
      <c r="F82" s="1"/>
    </row>
    <row r="83" spans="1:6" ht="24" customHeight="1">
      <c r="A83" s="1" t="s">
        <v>120</v>
      </c>
      <c r="B83" s="1" t="s">
        <v>222</v>
      </c>
      <c r="C83" s="8">
        <v>22154</v>
      </c>
      <c r="D83" s="9">
        <v>8.5011185682326629E-2</v>
      </c>
      <c r="E83" s="1"/>
      <c r="F83" s="1"/>
    </row>
    <row r="84" spans="1:6" ht="24" customHeight="1">
      <c r="A84" s="1" t="s">
        <v>123</v>
      </c>
      <c r="B84" s="1" t="s">
        <v>250</v>
      </c>
      <c r="C84" s="8">
        <v>249502</v>
      </c>
      <c r="D84" s="9">
        <v>0.95740998691486223</v>
      </c>
      <c r="E84" s="1"/>
      <c r="F84" s="1"/>
    </row>
    <row r="85" spans="1:6" ht="24" customHeight="1">
      <c r="A85" s="1" t="s">
        <v>123</v>
      </c>
      <c r="B85" s="1" t="s">
        <v>222</v>
      </c>
      <c r="C85" s="8">
        <v>11099</v>
      </c>
      <c r="D85" s="9">
        <v>4.2590013085137816E-2</v>
      </c>
      <c r="E85" s="1"/>
      <c r="F85" s="1"/>
    </row>
    <row r="86" spans="1:6" ht="24" customHeight="1">
      <c r="A86" s="1" t="s">
        <v>127</v>
      </c>
      <c r="B86" s="1" t="s">
        <v>250</v>
      </c>
      <c r="C86" s="8">
        <v>256468</v>
      </c>
      <c r="D86" s="9">
        <v>0.98414050598424407</v>
      </c>
      <c r="E86" s="1"/>
      <c r="F86" s="1"/>
    </row>
    <row r="87" spans="1:6" ht="24" customHeight="1">
      <c r="A87" s="1" t="s">
        <v>127</v>
      </c>
      <c r="B87" s="1" t="s">
        <v>222</v>
      </c>
      <c r="C87" s="8">
        <v>4133</v>
      </c>
      <c r="D87" s="9">
        <v>1.5859494015755888E-2</v>
      </c>
      <c r="E87" s="1"/>
      <c r="F87" s="1"/>
    </row>
    <row r="88" spans="1:6" ht="24" customHeight="1">
      <c r="A88" s="1" t="s">
        <v>130</v>
      </c>
      <c r="B88" s="1" t="s">
        <v>250</v>
      </c>
      <c r="C88" s="8">
        <v>256696</v>
      </c>
      <c r="D88" s="9">
        <v>0.98501540669452536</v>
      </c>
      <c r="E88" s="1"/>
      <c r="F88" s="1"/>
    </row>
    <row r="89" spans="1:6" ht="24" customHeight="1">
      <c r="A89" s="1" t="s">
        <v>130</v>
      </c>
      <c r="B89" s="1" t="s">
        <v>222</v>
      </c>
      <c r="C89" s="8">
        <v>3905</v>
      </c>
      <c r="D89" s="9">
        <v>1.4984593305474653E-2</v>
      </c>
      <c r="E89" s="1"/>
      <c r="F89" s="1"/>
    </row>
    <row r="90" spans="1:6" ht="24" customHeight="1">
      <c r="A90" s="1" t="s">
        <v>133</v>
      </c>
      <c r="B90" s="1" t="s">
        <v>247</v>
      </c>
      <c r="C90" s="8">
        <v>5512</v>
      </c>
      <c r="D90" s="9">
        <v>2.1151108399430546E-2</v>
      </c>
      <c r="E90" s="1"/>
      <c r="F90" s="1"/>
    </row>
    <row r="91" spans="1:6" ht="24" customHeight="1">
      <c r="A91" s="1" t="s">
        <v>133</v>
      </c>
      <c r="B91" s="1" t="s">
        <v>236</v>
      </c>
      <c r="C91" s="8">
        <v>1473</v>
      </c>
      <c r="D91" s="9">
        <v>5.6523190624748181E-3</v>
      </c>
      <c r="E91" s="1"/>
      <c r="F91" s="1"/>
    </row>
    <row r="92" spans="1:6" ht="24" customHeight="1">
      <c r="A92" s="1" t="s">
        <v>133</v>
      </c>
      <c r="B92" s="1" t="s">
        <v>243</v>
      </c>
      <c r="C92" s="8">
        <v>250939</v>
      </c>
      <c r="D92" s="9">
        <v>0.96292416375992418</v>
      </c>
      <c r="E92" s="1"/>
      <c r="F92" s="1"/>
    </row>
    <row r="93" spans="1:6" ht="24" customHeight="1">
      <c r="A93" s="1" t="s">
        <v>133</v>
      </c>
      <c r="B93" s="1" t="s">
        <v>238</v>
      </c>
      <c r="C93" s="8">
        <v>2677</v>
      </c>
      <c r="D93" s="9">
        <v>1.0272408778170461E-2</v>
      </c>
      <c r="E93" s="1"/>
      <c r="F93" s="1"/>
    </row>
    <row r="94" spans="1:6" ht="24" customHeight="1">
      <c r="A94" s="1" t="s">
        <v>138</v>
      </c>
      <c r="B94" s="1" t="s">
        <v>250</v>
      </c>
      <c r="C94" s="8">
        <v>20862</v>
      </c>
      <c r="D94" s="9">
        <v>8.0053414990732957E-2</v>
      </c>
      <c r="E94" s="1"/>
      <c r="F94" s="1"/>
    </row>
    <row r="95" spans="1:6" ht="24" customHeight="1">
      <c r="A95" s="1" t="s">
        <v>138</v>
      </c>
      <c r="B95" s="1" t="s">
        <v>222</v>
      </c>
      <c r="C95" s="8">
        <v>226115</v>
      </c>
      <c r="D95" s="9">
        <v>0.86766743028614624</v>
      </c>
      <c r="E95" s="1"/>
      <c r="F95" s="1"/>
    </row>
    <row r="96" spans="1:6" ht="24" customHeight="1">
      <c r="A96" s="1" t="s">
        <v>138</v>
      </c>
      <c r="B96" s="1" t="s">
        <v>223</v>
      </c>
      <c r="C96" s="8">
        <v>11294</v>
      </c>
      <c r="D96" s="9">
        <v>4.3338283429457294E-2</v>
      </c>
      <c r="E96" s="1"/>
      <c r="F96" s="1"/>
    </row>
    <row r="97" spans="1:6" ht="24" customHeight="1">
      <c r="A97" s="1" t="s">
        <v>138</v>
      </c>
      <c r="B97" s="1" t="s">
        <v>224</v>
      </c>
      <c r="C97" s="8">
        <v>1802</v>
      </c>
      <c r="D97" s="9">
        <v>6.9147854382753714E-3</v>
      </c>
      <c r="E97" s="1"/>
      <c r="F97" s="1"/>
    </row>
    <row r="98" spans="1:6" ht="24" customHeight="1">
      <c r="A98" s="1" t="s">
        <v>138</v>
      </c>
      <c r="B98" s="1" t="s">
        <v>225</v>
      </c>
      <c r="C98" s="8">
        <v>389</v>
      </c>
      <c r="D98" s="9">
        <v>1.4927034048219309E-3</v>
      </c>
      <c r="E98" s="1"/>
      <c r="F98" s="1"/>
    </row>
    <row r="99" spans="1:6" ht="24" customHeight="1">
      <c r="A99" s="1" t="s">
        <v>138</v>
      </c>
      <c r="B99" s="1" t="s">
        <v>226</v>
      </c>
      <c r="C99" s="8">
        <v>104</v>
      </c>
      <c r="D99" s="9">
        <v>3.9907751697038768E-4</v>
      </c>
      <c r="E99" s="1"/>
      <c r="F99" s="1"/>
    </row>
    <row r="100" spans="1:6" ht="24" customHeight="1">
      <c r="A100" s="1" t="s">
        <v>138</v>
      </c>
      <c r="B100" s="1" t="s">
        <v>227</v>
      </c>
      <c r="C100" s="8">
        <v>22</v>
      </c>
      <c r="D100" s="9">
        <v>8.442024397450509E-5</v>
      </c>
      <c r="E100" s="1"/>
      <c r="F100" s="1"/>
    </row>
    <row r="101" spans="1:6" ht="24" customHeight="1">
      <c r="A101" s="1" t="s">
        <v>138</v>
      </c>
      <c r="B101" s="1" t="s">
        <v>228</v>
      </c>
      <c r="C101" s="8">
        <v>7</v>
      </c>
      <c r="D101" s="9">
        <v>2.6860986719160711E-5</v>
      </c>
      <c r="E101" s="1"/>
      <c r="F101" s="1"/>
    </row>
    <row r="102" spans="1:6" ht="24" customHeight="1">
      <c r="A102" s="1" t="s">
        <v>138</v>
      </c>
      <c r="B102" s="1" t="s">
        <v>229</v>
      </c>
      <c r="C102" s="8">
        <v>2</v>
      </c>
      <c r="D102" s="9">
        <v>7.6745676340459171E-6</v>
      </c>
      <c r="E102" s="1"/>
      <c r="F102" s="1"/>
    </row>
    <row r="103" spans="1:6" ht="24" customHeight="1">
      <c r="A103" s="1" t="s">
        <v>138</v>
      </c>
      <c r="B103" s="1" t="s">
        <v>230</v>
      </c>
      <c r="C103" s="8">
        <v>4</v>
      </c>
      <c r="D103" s="9">
        <v>1.5349135268091834E-5</v>
      </c>
      <c r="E103" s="1"/>
      <c r="F103" s="1"/>
    </row>
    <row r="104" spans="1:6" ht="24" customHeight="1">
      <c r="A104" s="1" t="s">
        <v>144</v>
      </c>
      <c r="B104" s="1" t="s">
        <v>250</v>
      </c>
      <c r="C104" s="8">
        <v>231445</v>
      </c>
      <c r="D104" s="9">
        <v>0.88812015303087866</v>
      </c>
      <c r="E104" s="1"/>
      <c r="F104" s="1"/>
    </row>
    <row r="105" spans="1:6" ht="24" customHeight="1">
      <c r="A105" s="1" t="s">
        <v>144</v>
      </c>
      <c r="B105" s="1" t="s">
        <v>222</v>
      </c>
      <c r="C105" s="8">
        <v>29156</v>
      </c>
      <c r="D105" s="9">
        <v>0.11187984696912137</v>
      </c>
      <c r="E105" s="1"/>
      <c r="F105" s="1"/>
    </row>
    <row r="106" spans="1:6" ht="24" customHeight="1">
      <c r="A106" s="1" t="s">
        <v>148</v>
      </c>
      <c r="B106" s="1" t="s">
        <v>250</v>
      </c>
      <c r="C106" s="8">
        <v>243824</v>
      </c>
      <c r="D106" s="9">
        <v>0.9356218894018058</v>
      </c>
      <c r="E106" s="1"/>
      <c r="F106" s="1"/>
    </row>
    <row r="107" spans="1:6" ht="24" customHeight="1">
      <c r="A107" s="1" t="s">
        <v>148</v>
      </c>
      <c r="B107" s="1" t="s">
        <v>222</v>
      </c>
      <c r="C107" s="8">
        <v>16777</v>
      </c>
      <c r="D107" s="9">
        <v>6.4378110598194177E-2</v>
      </c>
      <c r="E107" s="1"/>
      <c r="F107" s="1"/>
    </row>
    <row r="108" spans="1:6" ht="24" customHeight="1">
      <c r="A108" s="1" t="s">
        <v>152</v>
      </c>
      <c r="B108" s="1" t="s">
        <v>250</v>
      </c>
      <c r="C108" s="8">
        <v>251838</v>
      </c>
      <c r="D108" s="9">
        <v>0.96637388191142781</v>
      </c>
      <c r="E108" s="1"/>
      <c r="F108" s="1"/>
    </row>
    <row r="109" spans="1:6" ht="24" customHeight="1">
      <c r="A109" s="1" t="s">
        <v>152</v>
      </c>
      <c r="B109" s="1" t="s">
        <v>222</v>
      </c>
      <c r="C109" s="8">
        <v>8763</v>
      </c>
      <c r="D109" s="9">
        <v>3.3626118088572188E-2</v>
      </c>
      <c r="E109" s="1"/>
      <c r="F109" s="1"/>
    </row>
    <row r="110" spans="1:6" ht="24" customHeight="1">
      <c r="A110" s="1" t="s">
        <v>155</v>
      </c>
      <c r="B110" s="1" t="s">
        <v>250</v>
      </c>
      <c r="C110" s="8">
        <v>258490</v>
      </c>
      <c r="D110" s="9">
        <v>0.9918994938622645</v>
      </c>
      <c r="E110" s="1"/>
      <c r="F110" s="1"/>
    </row>
    <row r="111" spans="1:6" ht="24" customHeight="1">
      <c r="A111" s="1" t="s">
        <v>155</v>
      </c>
      <c r="B111" s="1" t="s">
        <v>222</v>
      </c>
      <c r="C111" s="8">
        <v>2111</v>
      </c>
      <c r="D111" s="9">
        <v>8.1005061377354658E-3</v>
      </c>
      <c r="E111" s="1"/>
      <c r="F111" s="1"/>
    </row>
    <row r="112" spans="1:6" ht="24" customHeight="1">
      <c r="A112" s="1" t="s">
        <v>158</v>
      </c>
      <c r="B112" s="1" t="s">
        <v>250</v>
      </c>
      <c r="C112" s="8">
        <v>260356</v>
      </c>
      <c r="D112" s="9">
        <v>0.99905986546482939</v>
      </c>
      <c r="E112" s="1"/>
      <c r="F112" s="1"/>
    </row>
    <row r="113" spans="1:6" ht="24" customHeight="1">
      <c r="A113" s="1" t="s">
        <v>158</v>
      </c>
      <c r="B113" s="1" t="s">
        <v>222</v>
      </c>
      <c r="C113" s="8">
        <v>245</v>
      </c>
      <c r="D113" s="9">
        <v>9.4013453517062485E-4</v>
      </c>
      <c r="E113" s="1"/>
      <c r="F113" s="1"/>
    </row>
    <row r="114" spans="1:6" ht="24" customHeight="1">
      <c r="A114" s="1" t="s">
        <v>161</v>
      </c>
      <c r="B114" s="1" t="s">
        <v>250</v>
      </c>
      <c r="C114" s="8">
        <v>260507</v>
      </c>
      <c r="D114" s="9">
        <v>0.99963929532119988</v>
      </c>
      <c r="E114" s="1"/>
      <c r="F114" s="1"/>
    </row>
    <row r="115" spans="1:6" ht="24" customHeight="1">
      <c r="A115" s="1" t="s">
        <v>161</v>
      </c>
      <c r="B115" s="1" t="s">
        <v>222</v>
      </c>
      <c r="C115" s="8">
        <v>94</v>
      </c>
      <c r="D115" s="9">
        <v>3.6070467880015811E-4</v>
      </c>
      <c r="E115" s="1"/>
      <c r="F115" s="1"/>
    </row>
    <row r="116" spans="1:6" ht="24" customHeight="1">
      <c r="A116" s="1" t="s">
        <v>164</v>
      </c>
      <c r="B116" s="1" t="s">
        <v>250</v>
      </c>
      <c r="C116" s="8">
        <v>260322</v>
      </c>
      <c r="D116" s="9">
        <v>0.99892939781505063</v>
      </c>
      <c r="E116" s="1"/>
      <c r="F116" s="1"/>
    </row>
    <row r="117" spans="1:6" ht="24" customHeight="1">
      <c r="A117" s="1" t="s">
        <v>164</v>
      </c>
      <c r="B117" s="1" t="s">
        <v>222</v>
      </c>
      <c r="C117" s="8">
        <v>279</v>
      </c>
      <c r="D117" s="9">
        <v>1.0706021849494053E-3</v>
      </c>
      <c r="E117" s="1"/>
      <c r="F117" s="1"/>
    </row>
    <row r="118" spans="1:6" ht="24" customHeight="1">
      <c r="A118" s="1" t="s">
        <v>167</v>
      </c>
      <c r="B118" s="1" t="s">
        <v>250</v>
      </c>
      <c r="C118" s="8">
        <v>260552</v>
      </c>
      <c r="D118" s="9">
        <v>0.99981197309296588</v>
      </c>
      <c r="E118" s="1"/>
      <c r="F118" s="1"/>
    </row>
    <row r="119" spans="1:6" ht="24" customHeight="1">
      <c r="A119" s="1" t="s">
        <v>167</v>
      </c>
      <c r="B119" s="1" t="s">
        <v>222</v>
      </c>
      <c r="C119" s="8">
        <v>49</v>
      </c>
      <c r="D119" s="9">
        <v>1.8802690703412496E-4</v>
      </c>
      <c r="E119" s="1"/>
      <c r="F119" s="1"/>
    </row>
    <row r="120" spans="1:6" ht="24" customHeight="1">
      <c r="A120" s="1" t="s">
        <v>170</v>
      </c>
      <c r="B120" s="1" t="s">
        <v>250</v>
      </c>
      <c r="C120" s="8">
        <v>260563</v>
      </c>
      <c r="D120" s="9">
        <v>0.99985418321495312</v>
      </c>
      <c r="E120" s="1"/>
      <c r="F120" s="1"/>
    </row>
    <row r="121" spans="1:6" ht="24" customHeight="1">
      <c r="A121" s="1" t="s">
        <v>170</v>
      </c>
      <c r="B121" s="1" t="s">
        <v>222</v>
      </c>
      <c r="C121" s="8">
        <v>38</v>
      </c>
      <c r="D121" s="9">
        <v>1.4581678504687243E-4</v>
      </c>
      <c r="E121" s="1"/>
      <c r="F121" s="1"/>
    </row>
    <row r="122" spans="1:6" ht="24" customHeight="1">
      <c r="A122" s="1" t="s">
        <v>173</v>
      </c>
      <c r="B122" s="1" t="s">
        <v>250</v>
      </c>
      <c r="C122" s="8">
        <v>260578</v>
      </c>
      <c r="D122" s="9">
        <v>0.99991174247220849</v>
      </c>
      <c r="E122" s="1"/>
      <c r="F122" s="1"/>
    </row>
    <row r="123" spans="1:6" ht="24" customHeight="1">
      <c r="A123" s="1" t="s">
        <v>173</v>
      </c>
      <c r="B123" s="1" t="s">
        <v>222</v>
      </c>
      <c r="C123" s="8">
        <v>23</v>
      </c>
      <c r="D123" s="9">
        <v>8.8257527791528044E-5</v>
      </c>
      <c r="E123" s="1"/>
      <c r="F123" s="1"/>
    </row>
    <row r="124" spans="1:6" ht="24" customHeight="1">
      <c r="A124" s="1" t="s">
        <v>177</v>
      </c>
      <c r="B124" s="1" t="s">
        <v>250</v>
      </c>
      <c r="C124" s="8">
        <v>259267</v>
      </c>
      <c r="D124" s="9">
        <v>0.99488106338809135</v>
      </c>
      <c r="E124" s="1"/>
      <c r="F124" s="1"/>
    </row>
    <row r="125" spans="1:6" ht="24" customHeight="1">
      <c r="A125" s="1" t="s">
        <v>177</v>
      </c>
      <c r="B125" s="1" t="s">
        <v>222</v>
      </c>
      <c r="C125" s="8">
        <v>1334</v>
      </c>
      <c r="D125" s="9">
        <v>5.1189366119086263E-3</v>
      </c>
      <c r="E125" s="1"/>
      <c r="F125" s="1"/>
    </row>
    <row r="126" spans="1:6" ht="24" customHeight="1">
      <c r="A126" s="1" t="s">
        <v>180</v>
      </c>
      <c r="B126" s="1" t="s">
        <v>222</v>
      </c>
      <c r="C126" s="8">
        <v>25124</v>
      </c>
      <c r="D126" s="9">
        <v>9.6407918618884814E-2</v>
      </c>
      <c r="E126" s="1"/>
      <c r="F126" s="1"/>
    </row>
    <row r="127" spans="1:6" ht="24" customHeight="1">
      <c r="A127" s="1" t="s">
        <v>180</v>
      </c>
      <c r="B127" s="1" t="s">
        <v>223</v>
      </c>
      <c r="C127" s="8">
        <v>148259</v>
      </c>
      <c r="D127" s="9">
        <v>0.56891186142800676</v>
      </c>
      <c r="E127" s="1"/>
      <c r="F127" s="1"/>
    </row>
    <row r="128" spans="1:6" ht="24" customHeight="1">
      <c r="A128" s="1" t="s">
        <v>180</v>
      </c>
      <c r="B128" s="1" t="s">
        <v>224</v>
      </c>
      <c r="C128" s="8">
        <v>87218</v>
      </c>
      <c r="D128" s="9">
        <v>0.33468021995310837</v>
      </c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컬럼정의서</vt:lpstr>
      <vt:lpstr>데이터요약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은영 조</cp:lastModifiedBy>
  <dcterms:modified xsi:type="dcterms:W3CDTF">2026-10-16T05:35:17Z</dcterms:modified>
</cp:coreProperties>
</file>